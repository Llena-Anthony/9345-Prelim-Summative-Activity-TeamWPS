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" sheetId="1" r:id="rId4"/>
    <sheet state="visible" name="Reference" sheetId="2" r:id="rId5"/>
  </sheets>
  <definedNames/>
  <calcPr/>
  <extLst>
    <ext uri="GoogleSheetsCustomDataVersion2">
      <go:sheetsCustomData xmlns:go="http://customooxmlschemas.google.com/" r:id="rId6" roundtripDataChecksum="OLFobBgzqlLTSkifQfuo8piPr3ERCXiZXEnkZS4znrg="/>
    </ext>
  </extLst>
</workbook>
</file>

<file path=xl/sharedStrings.xml><?xml version="1.0" encoding="utf-8"?>
<sst xmlns="http://schemas.openxmlformats.org/spreadsheetml/2006/main" count="43" uniqueCount="41">
  <si>
    <t>Region</t>
  </si>
  <si>
    <t>Industry</t>
  </si>
  <si>
    <t>Sector_Level</t>
  </si>
  <si>
    <t xml:space="preserve">Year </t>
  </si>
  <si>
    <t>Price_Type</t>
  </si>
  <si>
    <t>Price_Values</t>
  </si>
  <si>
    <t>Bangsamoro Autonomous Region in Muslim Mindanao</t>
  </si>
  <si>
    <t>..Agriculture, forestry, and fishing</t>
  </si>
  <si>
    <t>Bicol Region</t>
  </si>
  <si>
    <t>..Industry</t>
  </si>
  <si>
    <t>Cagayan Valley</t>
  </si>
  <si>
    <t>....Mining and quarrying</t>
  </si>
  <si>
    <t>CALABARZON</t>
  </si>
  <si>
    <t>....Manufacturing</t>
  </si>
  <si>
    <t>Caraga</t>
  </si>
  <si>
    <t>....Electricity, steam, water and waste management</t>
  </si>
  <si>
    <t>Central Luzon</t>
  </si>
  <si>
    <t>....Construction</t>
  </si>
  <si>
    <t>Central Visayas</t>
  </si>
  <si>
    <t>..Services</t>
  </si>
  <si>
    <t>Cordillera Administrative Region</t>
  </si>
  <si>
    <t>....Wholesale and retail trade; repair of motor vehicles and motorcycles</t>
  </si>
  <si>
    <t>Davao Region</t>
  </si>
  <si>
    <t>....Transportation and storage</t>
  </si>
  <si>
    <t>Eastern Visayas</t>
  </si>
  <si>
    <t>....Accommodation and food service activities</t>
  </si>
  <si>
    <t>Ilocos Region</t>
  </si>
  <si>
    <t>....Information and communication</t>
  </si>
  <si>
    <t>MIMAROPA Region</t>
  </si>
  <si>
    <t>....Financial and insurance activities</t>
  </si>
  <si>
    <t>NCR</t>
  </si>
  <si>
    <t>....Real estate and ownership of dwellings</t>
  </si>
  <si>
    <t>Nothern Mindanao</t>
  </si>
  <si>
    <t>....Professional and business services</t>
  </si>
  <si>
    <t>SOCCSKSARGEN</t>
  </si>
  <si>
    <t>....Public administration and defense; compulsory social activities</t>
  </si>
  <si>
    <t>Western Visayas</t>
  </si>
  <si>
    <t>....Education</t>
  </si>
  <si>
    <t>Zamboanga Peninsula</t>
  </si>
  <si>
    <t>....Human health and social work activities</t>
  </si>
  <si>
    <t>....Other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</si>
</sst>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1" xfId="0" applyAlignment="1" applyFont="1" applyNumberFormat="1">
      <alignment horizontal="right" vertical="bottom"/>
    </xf>
    <xf borderId="0" fillId="0" fontId="4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5.13"/>
    <col customWidth="1" min="3" max="3" width="10.5"/>
    <col customWidth="1" min="4" max="4" width="7.88"/>
    <col customWidth="1" min="5" max="5" width="15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tr">
        <f t="array" ref="A2">INDEX(Reference!$A$2:$A$18, INT((ROW()-2)/(18*3*2)) + 1)</f>
        <v>Bangsamoro Autonomous Region in Muslim Mindanao</v>
      </c>
      <c r="B2" s="2" t="str">
        <f t="array" ref="B2">INDEX(Reference!$C$2:$C$19, MOD(ROW()-2, 18) + 1)</f>
        <v>..Agriculture, forestry, and fishing</v>
      </c>
      <c r="C2" s="1" t="str">
        <f t="shared" ref="C2:C1837" si="1">IF(LEFT(B2,4)="....","Sub","Main")</f>
        <v>Main</v>
      </c>
      <c r="D2" s="1">
        <f t="shared" ref="D2:D1837" si="2">2022 + MOD(INT((ROW()-2)/18), 3)</f>
        <v>2022</v>
      </c>
      <c r="E2" s="1" t="str">
        <f t="shared" ref="E2:E1837" si="3">IF(MOD(INT((ROW()-2)/(18*3)), 2)=0, "At Current Prices", "At Constant 2018 Prices")
</f>
        <v>At Current Prices</v>
      </c>
      <c r="F2" s="3">
        <v>1.20836472E8</v>
      </c>
      <c r="G2" s="4"/>
    </row>
    <row r="3" ht="15.75" customHeight="1">
      <c r="A3" s="1" t="str">
        <f t="array" ref="A3">INDEX(Reference!$A$2:$A$18, INT((ROW()-2)/(18*3*2)) + 1)</f>
        <v>Bangsamoro Autonomous Region in Muslim Mindanao</v>
      </c>
      <c r="B3" s="2" t="str">
        <f t="array" ref="B3">INDEX(Reference!$C$2:$C$19, MOD(ROW()-2, 18) + 1)</f>
        <v>..Industry</v>
      </c>
      <c r="C3" s="1" t="str">
        <f t="shared" si="1"/>
        <v>Main</v>
      </c>
      <c r="D3" s="1">
        <f t="shared" si="2"/>
        <v>2022</v>
      </c>
      <c r="E3" s="1" t="str">
        <f t="shared" si="3"/>
        <v>At Current Prices</v>
      </c>
      <c r="F3" s="3">
        <v>8.4590542E7</v>
      </c>
      <c r="G3" s="4"/>
    </row>
    <row r="4" ht="15.75" customHeight="1">
      <c r="A4" s="1" t="str">
        <f t="array" ref="A4">INDEX(Reference!$A$2:$A$18, INT((ROW()-2)/(18*3*2)) + 1)</f>
        <v>Bangsamoro Autonomous Region in Muslim Mindanao</v>
      </c>
      <c r="B4" s="2" t="str">
        <f t="array" ref="B4">INDEX(Reference!$C$2:$C$19, MOD(ROW()-2, 18) + 1)</f>
        <v>....Mining and quarrying</v>
      </c>
      <c r="C4" s="1" t="str">
        <f t="shared" si="1"/>
        <v>Sub</v>
      </c>
      <c r="D4" s="1">
        <f t="shared" si="2"/>
        <v>2022</v>
      </c>
      <c r="E4" s="1" t="str">
        <f t="shared" si="3"/>
        <v>At Current Prices</v>
      </c>
      <c r="F4" s="3">
        <v>2884714.0</v>
      </c>
      <c r="G4" s="4"/>
    </row>
    <row r="5" ht="15.75" customHeight="1">
      <c r="A5" s="1" t="str">
        <f t="array" ref="A5">INDEX(Reference!$A$2:$A$18, INT((ROW()-2)/(18*3*2)) + 1)</f>
        <v>Bangsamoro Autonomous Region in Muslim Mindanao</v>
      </c>
      <c r="B5" s="2" t="str">
        <f t="array" ref="B5">INDEX(Reference!$C$2:$C$19, MOD(ROW()-2, 18) + 1)</f>
        <v>....Manufacturing</v>
      </c>
      <c r="C5" s="1" t="str">
        <f t="shared" si="1"/>
        <v>Sub</v>
      </c>
      <c r="D5" s="1">
        <f t="shared" si="2"/>
        <v>2022</v>
      </c>
      <c r="E5" s="1" t="str">
        <f t="shared" si="3"/>
        <v>At Current Prices</v>
      </c>
      <c r="F5" s="3">
        <v>3.2932267E7</v>
      </c>
    </row>
    <row r="6" ht="15.75" customHeight="1">
      <c r="A6" s="1" t="str">
        <f t="array" ref="A6">INDEX(Reference!$A$2:$A$18, INT((ROW()-2)/(18*3*2)) + 1)</f>
        <v>Bangsamoro Autonomous Region in Muslim Mindanao</v>
      </c>
      <c r="B6" s="2" t="str">
        <f t="array" ref="B6">INDEX(Reference!$C$2:$C$19, MOD(ROW()-2, 18) + 1)</f>
        <v>....Electricity, steam, water and waste management</v>
      </c>
      <c r="C6" s="1" t="str">
        <f t="shared" si="1"/>
        <v>Sub</v>
      </c>
      <c r="D6" s="1">
        <f t="shared" si="2"/>
        <v>2022</v>
      </c>
      <c r="E6" s="1" t="str">
        <f t="shared" si="3"/>
        <v>At Current Prices</v>
      </c>
      <c r="F6" s="3">
        <v>4.3258108E7</v>
      </c>
    </row>
    <row r="7" ht="15.75" customHeight="1">
      <c r="A7" s="1" t="str">
        <f t="array" ref="A7">INDEX(Reference!$A$2:$A$18, INT((ROW()-2)/(18*3*2)) + 1)</f>
        <v>Bangsamoro Autonomous Region in Muslim Mindanao</v>
      </c>
      <c r="B7" s="2" t="str">
        <f t="array" ref="B7">INDEX(Reference!$C$2:$C$19, MOD(ROW()-2, 18) + 1)</f>
        <v>....Construction</v>
      </c>
      <c r="C7" s="1" t="str">
        <f t="shared" si="1"/>
        <v>Sub</v>
      </c>
      <c r="D7" s="1">
        <f t="shared" si="2"/>
        <v>2022</v>
      </c>
      <c r="E7" s="1" t="str">
        <f t="shared" si="3"/>
        <v>At Current Prices</v>
      </c>
      <c r="F7" s="3">
        <v>5515453.0</v>
      </c>
    </row>
    <row r="8" ht="15.75" customHeight="1">
      <c r="A8" s="1" t="str">
        <f t="array" ref="A8">INDEX(Reference!$A$2:$A$18, INT((ROW()-2)/(18*3*2)) + 1)</f>
        <v>Bangsamoro Autonomous Region in Muslim Mindanao</v>
      </c>
      <c r="B8" s="2" t="str">
        <f t="array" ref="B8">INDEX(Reference!$C$2:$C$19, MOD(ROW()-2, 18) + 1)</f>
        <v>..Services</v>
      </c>
      <c r="C8" s="1" t="str">
        <f t="shared" si="1"/>
        <v>Main</v>
      </c>
      <c r="D8" s="1">
        <f t="shared" si="2"/>
        <v>2022</v>
      </c>
      <c r="E8" s="1" t="str">
        <f t="shared" si="3"/>
        <v>At Current Prices</v>
      </c>
      <c r="F8" s="3">
        <v>1.21386456E8</v>
      </c>
    </row>
    <row r="9" ht="15.75" customHeight="1">
      <c r="A9" s="1" t="str">
        <f t="array" ref="A9">INDEX(Reference!$A$2:$A$18, INT((ROW()-2)/(18*3*2)) + 1)</f>
        <v>Bangsamoro Autonomous Region in Muslim Mindanao</v>
      </c>
      <c r="B9" s="2" t="str">
        <f t="array" ref="B9">INDEX(Reference!$C$2:$C$19, MOD(ROW()-2, 18) + 1)</f>
        <v>....Wholesale and retail trade; repair of motor vehicles and motorcycles</v>
      </c>
      <c r="C9" s="1" t="str">
        <f t="shared" si="1"/>
        <v>Sub</v>
      </c>
      <c r="D9" s="1">
        <f t="shared" si="2"/>
        <v>2022</v>
      </c>
      <c r="E9" s="1" t="str">
        <f t="shared" si="3"/>
        <v>At Current Prices</v>
      </c>
      <c r="F9" s="3">
        <v>2.6895624E7</v>
      </c>
    </row>
    <row r="10" ht="15.75" customHeight="1">
      <c r="A10" s="1" t="str">
        <f t="array" ref="A10">INDEX(Reference!$A$2:$A$18, INT((ROW()-2)/(18*3*2)) + 1)</f>
        <v>Bangsamoro Autonomous Region in Muslim Mindanao</v>
      </c>
      <c r="B10" s="2" t="str">
        <f t="array" ref="B10">INDEX(Reference!$C$2:$C$19, MOD(ROW()-2, 18) + 1)</f>
        <v>....Transportation and storage</v>
      </c>
      <c r="C10" s="1" t="str">
        <f t="shared" si="1"/>
        <v>Sub</v>
      </c>
      <c r="D10" s="1">
        <f t="shared" si="2"/>
        <v>2022</v>
      </c>
      <c r="E10" s="1" t="str">
        <f t="shared" si="3"/>
        <v>At Current Prices</v>
      </c>
      <c r="F10" s="3">
        <v>1.5563758E7</v>
      </c>
    </row>
    <row r="11" ht="15.75" customHeight="1">
      <c r="A11" s="1" t="str">
        <f t="array" ref="A11">INDEX(Reference!$A$2:$A$18, INT((ROW()-2)/(18*3*2)) + 1)</f>
        <v>Bangsamoro Autonomous Region in Muslim Mindanao</v>
      </c>
      <c r="B11" s="2" t="str">
        <f t="array" ref="B11">INDEX(Reference!$C$2:$C$19, MOD(ROW()-2, 18) + 1)</f>
        <v>....Accommodation and food service activities</v>
      </c>
      <c r="C11" s="1" t="str">
        <f t="shared" si="1"/>
        <v>Sub</v>
      </c>
      <c r="D11" s="1">
        <f t="shared" si="2"/>
        <v>2022</v>
      </c>
      <c r="E11" s="1" t="str">
        <f t="shared" si="3"/>
        <v>At Current Prices</v>
      </c>
      <c r="F11" s="3">
        <v>1764959.0</v>
      </c>
    </row>
    <row r="12" ht="15.75" customHeight="1">
      <c r="A12" s="1" t="str">
        <f t="array" ref="A12">INDEX(Reference!$A$2:$A$18, INT((ROW()-2)/(18*3*2)) + 1)</f>
        <v>Bangsamoro Autonomous Region in Muslim Mindanao</v>
      </c>
      <c r="B12" s="2" t="str">
        <f t="array" ref="B12">INDEX(Reference!$C$2:$C$19, MOD(ROW()-2, 18) + 1)</f>
        <v>....Information and communication</v>
      </c>
      <c r="C12" s="1" t="str">
        <f t="shared" si="1"/>
        <v>Sub</v>
      </c>
      <c r="D12" s="1">
        <f t="shared" si="2"/>
        <v>2022</v>
      </c>
      <c r="E12" s="1" t="str">
        <f t="shared" si="3"/>
        <v>At Current Prices</v>
      </c>
      <c r="F12" s="3">
        <v>7807542.0</v>
      </c>
    </row>
    <row r="13" ht="15.75" customHeight="1">
      <c r="A13" s="1" t="str">
        <f t="array" ref="A13">INDEX(Reference!$A$2:$A$18, INT((ROW()-2)/(18*3*2)) + 1)</f>
        <v>Bangsamoro Autonomous Region in Muslim Mindanao</v>
      </c>
      <c r="B13" s="2" t="str">
        <f t="array" ref="B13">INDEX(Reference!$C$2:$C$19, MOD(ROW()-2, 18) + 1)</f>
        <v>....Financial and insurance activities</v>
      </c>
      <c r="C13" s="1" t="str">
        <f t="shared" si="1"/>
        <v>Sub</v>
      </c>
      <c r="D13" s="1">
        <f t="shared" si="2"/>
        <v>2022</v>
      </c>
      <c r="E13" s="1" t="str">
        <f t="shared" si="3"/>
        <v>At Current Prices</v>
      </c>
      <c r="F13" s="3">
        <v>4705304.0</v>
      </c>
    </row>
    <row r="14" ht="15.75" customHeight="1">
      <c r="A14" s="1" t="str">
        <f t="array" ref="A14">INDEX(Reference!$A$2:$A$18, INT((ROW()-2)/(18*3*2)) + 1)</f>
        <v>Bangsamoro Autonomous Region in Muslim Mindanao</v>
      </c>
      <c r="B14" s="2" t="str">
        <f t="array" ref="B14">INDEX(Reference!$C$2:$C$19, MOD(ROW()-2, 18) + 1)</f>
        <v>....Real estate and ownership of dwellings</v>
      </c>
      <c r="C14" s="1" t="str">
        <f t="shared" si="1"/>
        <v>Sub</v>
      </c>
      <c r="D14" s="1">
        <f t="shared" si="2"/>
        <v>2022</v>
      </c>
      <c r="E14" s="1" t="str">
        <f t="shared" si="3"/>
        <v>At Current Prices</v>
      </c>
      <c r="F14" s="3">
        <v>6134159.0</v>
      </c>
    </row>
    <row r="15" ht="15.75" customHeight="1">
      <c r="A15" s="1" t="str">
        <f t="array" ref="A15">INDEX(Reference!$A$2:$A$18, INT((ROW()-2)/(18*3*2)) + 1)</f>
        <v>Bangsamoro Autonomous Region in Muslim Mindanao</v>
      </c>
      <c r="B15" s="2" t="str">
        <f t="array" ref="B15">INDEX(Reference!$C$2:$C$19, MOD(ROW()-2, 18) + 1)</f>
        <v>....Professional and business services</v>
      </c>
      <c r="C15" s="1" t="str">
        <f t="shared" si="1"/>
        <v>Sub</v>
      </c>
      <c r="D15" s="1">
        <f t="shared" si="2"/>
        <v>2022</v>
      </c>
      <c r="E15" s="1" t="str">
        <f t="shared" si="3"/>
        <v>At Current Prices</v>
      </c>
      <c r="F15" s="3">
        <v>922412.0</v>
      </c>
    </row>
    <row r="16" ht="15.75" customHeight="1">
      <c r="A16" s="1" t="str">
        <f t="array" ref="A16">INDEX(Reference!$A$2:$A$18, INT((ROW()-2)/(18*3*2)) + 1)</f>
        <v>Bangsamoro Autonomous Region in Muslim Mindanao</v>
      </c>
      <c r="B16" s="2" t="str">
        <f t="array" ref="B16">INDEX(Reference!$C$2:$C$19, MOD(ROW()-2, 18) + 1)</f>
        <v>....Public administration and defense; compulsory social activities</v>
      </c>
      <c r="C16" s="1" t="str">
        <f t="shared" si="1"/>
        <v>Sub</v>
      </c>
      <c r="D16" s="1">
        <f t="shared" si="2"/>
        <v>2022</v>
      </c>
      <c r="E16" s="1" t="str">
        <f t="shared" si="3"/>
        <v>At Current Prices</v>
      </c>
      <c r="F16" s="3">
        <v>2.8647138E7</v>
      </c>
    </row>
    <row r="17" ht="15.75" customHeight="1">
      <c r="A17" s="1" t="str">
        <f t="array" ref="A17">INDEX(Reference!$A$2:$A$18, INT((ROW()-2)/(18*3*2)) + 1)</f>
        <v>Bangsamoro Autonomous Region in Muslim Mindanao</v>
      </c>
      <c r="B17" s="2" t="str">
        <f t="array" ref="B17">INDEX(Reference!$C$2:$C$19, MOD(ROW()-2, 18) + 1)</f>
        <v>....Education</v>
      </c>
      <c r="C17" s="1" t="str">
        <f t="shared" si="1"/>
        <v>Sub</v>
      </c>
      <c r="D17" s="1">
        <f t="shared" si="2"/>
        <v>2022</v>
      </c>
      <c r="E17" s="1" t="str">
        <f t="shared" si="3"/>
        <v>At Current Prices</v>
      </c>
      <c r="F17" s="3">
        <v>2.2258359E7</v>
      </c>
    </row>
    <row r="18" ht="15.75" customHeight="1">
      <c r="A18" s="1" t="str">
        <f t="array" ref="A18">INDEX(Reference!$A$2:$A$18, INT((ROW()-2)/(18*3*2)) + 1)</f>
        <v>Bangsamoro Autonomous Region in Muslim Mindanao</v>
      </c>
      <c r="B18" s="2" t="str">
        <f t="array" ref="B18">INDEX(Reference!$C$2:$C$19, MOD(ROW()-2, 18) + 1)</f>
        <v>....Human health and social work activities</v>
      </c>
      <c r="C18" s="1" t="str">
        <f t="shared" si="1"/>
        <v>Sub</v>
      </c>
      <c r="D18" s="1">
        <f t="shared" si="2"/>
        <v>2022</v>
      </c>
      <c r="E18" s="1" t="str">
        <f t="shared" si="3"/>
        <v>At Current Prices</v>
      </c>
      <c r="F18" s="3">
        <v>5881704.0</v>
      </c>
    </row>
    <row r="19" ht="15.75" customHeight="1">
      <c r="A19" s="1" t="str">
        <f t="array" ref="A19">INDEX(Reference!$A$2:$A$18, INT((ROW()-2)/(18*3*2)) + 1)</f>
        <v>Bangsamoro Autonomous Region in Muslim Mindanao</v>
      </c>
      <c r="B19" s="2" t="str">
        <f t="array" ref="B19">INDEX(Reference!$C$2:$C$19, MOD(ROW()-2, 18) + 1)</f>
        <v>....Other services</v>
      </c>
      <c r="C19" s="1" t="str">
        <f t="shared" si="1"/>
        <v>Sub</v>
      </c>
      <c r="D19" s="1">
        <f t="shared" si="2"/>
        <v>2022</v>
      </c>
      <c r="E19" s="1" t="str">
        <f t="shared" si="3"/>
        <v>At Current Prices</v>
      </c>
      <c r="F19" s="3">
        <v>805497.0</v>
      </c>
    </row>
    <row r="20" ht="15.75" customHeight="1">
      <c r="A20" s="1" t="str">
        <f t="array" ref="A20">INDEX(Reference!$A$2:$A$18, INT((ROW()-2)/(18*3*2)) + 1)</f>
        <v>Bangsamoro Autonomous Region in Muslim Mindanao</v>
      </c>
      <c r="B20" s="2" t="str">
        <f t="array" ref="B20">INDEX(Reference!$C$2:$C$19, MOD(ROW()-2, 18) + 1)</f>
        <v>..Agriculture, forestry, and fishing</v>
      </c>
      <c r="C20" s="1" t="str">
        <f t="shared" si="1"/>
        <v>Main</v>
      </c>
      <c r="D20" s="1">
        <f t="shared" si="2"/>
        <v>2023</v>
      </c>
      <c r="E20" s="1" t="str">
        <f t="shared" si="3"/>
        <v>At Current Prices</v>
      </c>
      <c r="F20" s="3">
        <v>1.36576417E8</v>
      </c>
    </row>
    <row r="21" ht="15.75" customHeight="1">
      <c r="A21" s="1" t="str">
        <f t="array" ref="A21">INDEX(Reference!$A$2:$A$18, INT((ROW()-2)/(18*3*2)) + 1)</f>
        <v>Bangsamoro Autonomous Region in Muslim Mindanao</v>
      </c>
      <c r="B21" s="2" t="str">
        <f t="array" ref="B21">INDEX(Reference!$C$2:$C$19, MOD(ROW()-2, 18) + 1)</f>
        <v>..Industry</v>
      </c>
      <c r="C21" s="1" t="str">
        <f t="shared" si="1"/>
        <v>Main</v>
      </c>
      <c r="D21" s="1">
        <f t="shared" si="2"/>
        <v>2023</v>
      </c>
      <c r="E21" s="1" t="str">
        <f t="shared" si="3"/>
        <v>At Current Prices</v>
      </c>
      <c r="F21" s="3">
        <v>9.1074468E7</v>
      </c>
    </row>
    <row r="22" ht="15.75" customHeight="1">
      <c r="A22" s="1" t="str">
        <f t="array" ref="A22">INDEX(Reference!$A$2:$A$18, INT((ROW()-2)/(18*3*2)) + 1)</f>
        <v>Bangsamoro Autonomous Region in Muslim Mindanao</v>
      </c>
      <c r="B22" s="2" t="str">
        <f t="array" ref="B22">INDEX(Reference!$C$2:$C$19, MOD(ROW()-2, 18) + 1)</f>
        <v>....Mining and quarrying</v>
      </c>
      <c r="C22" s="1" t="str">
        <f t="shared" si="1"/>
        <v>Sub</v>
      </c>
      <c r="D22" s="1">
        <f t="shared" si="2"/>
        <v>2023</v>
      </c>
      <c r="E22" s="1" t="str">
        <f t="shared" si="3"/>
        <v>At Current Prices</v>
      </c>
      <c r="F22" s="3">
        <v>3084900.0</v>
      </c>
    </row>
    <row r="23" ht="15.75" customHeight="1">
      <c r="A23" s="1" t="str">
        <f t="array" ref="A23">INDEX(Reference!$A$2:$A$18, INT((ROW()-2)/(18*3*2)) + 1)</f>
        <v>Bangsamoro Autonomous Region in Muslim Mindanao</v>
      </c>
      <c r="B23" s="2" t="str">
        <f t="array" ref="B23">INDEX(Reference!$C$2:$C$19, MOD(ROW()-2, 18) + 1)</f>
        <v>....Manufacturing</v>
      </c>
      <c r="C23" s="1" t="str">
        <f t="shared" si="1"/>
        <v>Sub</v>
      </c>
      <c r="D23" s="1">
        <f t="shared" si="2"/>
        <v>2023</v>
      </c>
      <c r="E23" s="1" t="str">
        <f t="shared" si="3"/>
        <v>At Current Prices</v>
      </c>
      <c r="F23" s="3">
        <v>3.4604901E7</v>
      </c>
    </row>
    <row r="24" ht="15.75" customHeight="1">
      <c r="A24" s="1" t="str">
        <f t="array" ref="A24">INDEX(Reference!$A$2:$A$18, INT((ROW()-2)/(18*3*2)) + 1)</f>
        <v>Bangsamoro Autonomous Region in Muslim Mindanao</v>
      </c>
      <c r="B24" s="2" t="str">
        <f t="array" ref="B24">INDEX(Reference!$C$2:$C$19, MOD(ROW()-2, 18) + 1)</f>
        <v>....Electricity, steam, water and waste management</v>
      </c>
      <c r="C24" s="1" t="str">
        <f t="shared" si="1"/>
        <v>Sub</v>
      </c>
      <c r="D24" s="1">
        <f t="shared" si="2"/>
        <v>2023</v>
      </c>
      <c r="E24" s="1" t="str">
        <f t="shared" si="3"/>
        <v>At Current Prices</v>
      </c>
      <c r="F24" s="3">
        <v>4.701494E7</v>
      </c>
    </row>
    <row r="25" ht="15.75" customHeight="1">
      <c r="A25" s="1" t="str">
        <f t="array" ref="A25">INDEX(Reference!$A$2:$A$18, INT((ROW()-2)/(18*3*2)) + 1)</f>
        <v>Bangsamoro Autonomous Region in Muslim Mindanao</v>
      </c>
      <c r="B25" s="2" t="str">
        <f t="array" ref="B25">INDEX(Reference!$C$2:$C$19, MOD(ROW()-2, 18) + 1)</f>
        <v>....Construction</v>
      </c>
      <c r="C25" s="1" t="str">
        <f t="shared" si="1"/>
        <v>Sub</v>
      </c>
      <c r="D25" s="1">
        <f t="shared" si="2"/>
        <v>2023</v>
      </c>
      <c r="E25" s="1" t="str">
        <f t="shared" si="3"/>
        <v>At Current Prices</v>
      </c>
      <c r="F25" s="3">
        <v>6369727.0</v>
      </c>
    </row>
    <row r="26" ht="15.75" customHeight="1">
      <c r="A26" s="1" t="str">
        <f t="array" ref="A26">INDEX(Reference!$A$2:$A$18, INT((ROW()-2)/(18*3*2)) + 1)</f>
        <v>Bangsamoro Autonomous Region in Muslim Mindanao</v>
      </c>
      <c r="B26" s="2" t="str">
        <f t="array" ref="B26">INDEX(Reference!$C$2:$C$19, MOD(ROW()-2, 18) + 1)</f>
        <v>..Services</v>
      </c>
      <c r="C26" s="1" t="str">
        <f t="shared" si="1"/>
        <v>Main</v>
      </c>
      <c r="D26" s="1">
        <f t="shared" si="2"/>
        <v>2023</v>
      </c>
      <c r="E26" s="1" t="str">
        <f t="shared" si="3"/>
        <v>At Current Prices</v>
      </c>
      <c r="F26" s="3">
        <v>1.34868663E8</v>
      </c>
    </row>
    <row r="27" ht="15.75" customHeight="1">
      <c r="A27" s="1" t="str">
        <f t="array" ref="A27">INDEX(Reference!$A$2:$A$18, INT((ROW()-2)/(18*3*2)) + 1)</f>
        <v>Bangsamoro Autonomous Region in Muslim Mindanao</v>
      </c>
      <c r="B27" s="2" t="str">
        <f t="array" ref="B27">INDEX(Reference!$C$2:$C$19, MOD(ROW()-2, 18) + 1)</f>
        <v>....Wholesale and retail trade; repair of motor vehicles and motorcycles</v>
      </c>
      <c r="C27" s="1" t="str">
        <f t="shared" si="1"/>
        <v>Sub</v>
      </c>
      <c r="D27" s="1">
        <f t="shared" si="2"/>
        <v>2023</v>
      </c>
      <c r="E27" s="1" t="str">
        <f t="shared" si="3"/>
        <v>At Current Prices</v>
      </c>
      <c r="F27" s="3">
        <v>3.0144787E7</v>
      </c>
    </row>
    <row r="28" ht="15.75" customHeight="1">
      <c r="A28" s="1" t="str">
        <f t="array" ref="A28">INDEX(Reference!$A$2:$A$18, INT((ROW()-2)/(18*3*2)) + 1)</f>
        <v>Bangsamoro Autonomous Region in Muslim Mindanao</v>
      </c>
      <c r="B28" s="2" t="str">
        <f t="array" ref="B28">INDEX(Reference!$C$2:$C$19, MOD(ROW()-2, 18) + 1)</f>
        <v>....Transportation and storage</v>
      </c>
      <c r="C28" s="1" t="str">
        <f t="shared" si="1"/>
        <v>Sub</v>
      </c>
      <c r="D28" s="1">
        <f t="shared" si="2"/>
        <v>2023</v>
      </c>
      <c r="E28" s="1" t="str">
        <f t="shared" si="3"/>
        <v>At Current Prices</v>
      </c>
      <c r="F28" s="3">
        <v>1.7837995E7</v>
      </c>
    </row>
    <row r="29" ht="15.75" customHeight="1">
      <c r="A29" s="1" t="str">
        <f t="array" ref="A29">INDEX(Reference!$A$2:$A$18, INT((ROW()-2)/(18*3*2)) + 1)</f>
        <v>Bangsamoro Autonomous Region in Muslim Mindanao</v>
      </c>
      <c r="B29" s="2" t="str">
        <f t="array" ref="B29">INDEX(Reference!$C$2:$C$19, MOD(ROW()-2, 18) + 1)</f>
        <v>....Accommodation and food service activities</v>
      </c>
      <c r="C29" s="1" t="str">
        <f t="shared" si="1"/>
        <v>Sub</v>
      </c>
      <c r="D29" s="1">
        <f t="shared" si="2"/>
        <v>2023</v>
      </c>
      <c r="E29" s="1" t="str">
        <f t="shared" si="3"/>
        <v>At Current Prices</v>
      </c>
      <c r="F29" s="3">
        <v>2117564.0</v>
      </c>
    </row>
    <row r="30" ht="15.75" customHeight="1">
      <c r="A30" s="1" t="str">
        <f t="array" ref="A30">INDEX(Reference!$A$2:$A$18, INT((ROW()-2)/(18*3*2)) + 1)</f>
        <v>Bangsamoro Autonomous Region in Muslim Mindanao</v>
      </c>
      <c r="B30" s="2" t="str">
        <f t="array" ref="B30">INDEX(Reference!$C$2:$C$19, MOD(ROW()-2, 18) + 1)</f>
        <v>....Information and communication</v>
      </c>
      <c r="C30" s="1" t="str">
        <f t="shared" si="1"/>
        <v>Sub</v>
      </c>
      <c r="D30" s="1">
        <f t="shared" si="2"/>
        <v>2023</v>
      </c>
      <c r="E30" s="1" t="str">
        <f t="shared" si="3"/>
        <v>At Current Prices</v>
      </c>
      <c r="F30" s="3">
        <v>8436753.0</v>
      </c>
    </row>
    <row r="31" ht="15.75" customHeight="1">
      <c r="A31" s="1" t="str">
        <f t="array" ref="A31">INDEX(Reference!$A$2:$A$18, INT((ROW()-2)/(18*3*2)) + 1)</f>
        <v>Bangsamoro Autonomous Region in Muslim Mindanao</v>
      </c>
      <c r="B31" s="2" t="str">
        <f t="array" ref="B31">INDEX(Reference!$C$2:$C$19, MOD(ROW()-2, 18) + 1)</f>
        <v>....Financial and insurance activities</v>
      </c>
      <c r="C31" s="1" t="str">
        <f t="shared" si="1"/>
        <v>Sub</v>
      </c>
      <c r="D31" s="1">
        <f t="shared" si="2"/>
        <v>2023</v>
      </c>
      <c r="E31" s="1" t="str">
        <f t="shared" si="3"/>
        <v>At Current Prices</v>
      </c>
      <c r="F31" s="3">
        <v>5788228.0</v>
      </c>
    </row>
    <row r="32" ht="15.75" customHeight="1">
      <c r="A32" s="1" t="str">
        <f t="array" ref="A32">INDEX(Reference!$A$2:$A$18, INT((ROW()-2)/(18*3*2)) + 1)</f>
        <v>Bangsamoro Autonomous Region in Muslim Mindanao</v>
      </c>
      <c r="B32" s="2" t="str">
        <f t="array" ref="B32">INDEX(Reference!$C$2:$C$19, MOD(ROW()-2, 18) + 1)</f>
        <v>....Real estate and ownership of dwellings</v>
      </c>
      <c r="C32" s="1" t="str">
        <f t="shared" si="1"/>
        <v>Sub</v>
      </c>
      <c r="D32" s="1">
        <f t="shared" si="2"/>
        <v>2023</v>
      </c>
      <c r="E32" s="1" t="str">
        <f t="shared" si="3"/>
        <v>At Current Prices</v>
      </c>
      <c r="F32" s="3">
        <v>6330639.0</v>
      </c>
    </row>
    <row r="33" ht="15.75" customHeight="1">
      <c r="A33" s="1" t="str">
        <f t="array" ref="A33">INDEX(Reference!$A$2:$A$18, INT((ROW()-2)/(18*3*2)) + 1)</f>
        <v>Bangsamoro Autonomous Region in Muslim Mindanao</v>
      </c>
      <c r="B33" s="2" t="str">
        <f t="array" ref="B33">INDEX(Reference!$C$2:$C$19, MOD(ROW()-2, 18) + 1)</f>
        <v>....Professional and business services</v>
      </c>
      <c r="C33" s="1" t="str">
        <f t="shared" si="1"/>
        <v>Sub</v>
      </c>
      <c r="D33" s="1">
        <f t="shared" si="2"/>
        <v>2023</v>
      </c>
      <c r="E33" s="1" t="str">
        <f t="shared" si="3"/>
        <v>At Current Prices</v>
      </c>
      <c r="F33" s="3">
        <v>1004307.0</v>
      </c>
    </row>
    <row r="34" ht="15.75" customHeight="1">
      <c r="A34" s="1" t="str">
        <f t="array" ref="A34">INDEX(Reference!$A$2:$A$18, INT((ROW()-2)/(18*3*2)) + 1)</f>
        <v>Bangsamoro Autonomous Region in Muslim Mindanao</v>
      </c>
      <c r="B34" s="2" t="str">
        <f t="array" ref="B34">INDEX(Reference!$C$2:$C$19, MOD(ROW()-2, 18) + 1)</f>
        <v>....Public administration and defense; compulsory social activities</v>
      </c>
      <c r="C34" s="1" t="str">
        <f t="shared" si="1"/>
        <v>Sub</v>
      </c>
      <c r="D34" s="1">
        <f t="shared" si="2"/>
        <v>2023</v>
      </c>
      <c r="E34" s="1" t="str">
        <f t="shared" si="3"/>
        <v>At Current Prices</v>
      </c>
      <c r="F34" s="3">
        <v>3.1866138E7</v>
      </c>
    </row>
    <row r="35" ht="15.75" customHeight="1">
      <c r="A35" s="1" t="str">
        <f t="array" ref="A35">INDEX(Reference!$A$2:$A$18, INT((ROW()-2)/(18*3*2)) + 1)</f>
        <v>Bangsamoro Autonomous Region in Muslim Mindanao</v>
      </c>
      <c r="B35" s="2" t="str">
        <f t="array" ref="B35">INDEX(Reference!$C$2:$C$19, MOD(ROW()-2, 18) + 1)</f>
        <v>....Education</v>
      </c>
      <c r="C35" s="1" t="str">
        <f t="shared" si="1"/>
        <v>Sub</v>
      </c>
      <c r="D35" s="1">
        <f t="shared" si="2"/>
        <v>2023</v>
      </c>
      <c r="E35" s="1" t="str">
        <f t="shared" si="3"/>
        <v>At Current Prices</v>
      </c>
      <c r="F35" s="3">
        <v>2.4033858E7</v>
      </c>
    </row>
    <row r="36" ht="15.75" customHeight="1">
      <c r="A36" s="1" t="str">
        <f t="array" ref="A36">INDEX(Reference!$A$2:$A$18, INT((ROW()-2)/(18*3*2)) + 1)</f>
        <v>Bangsamoro Autonomous Region in Muslim Mindanao</v>
      </c>
      <c r="B36" s="2" t="str">
        <f t="array" ref="B36">INDEX(Reference!$C$2:$C$19, MOD(ROW()-2, 18) + 1)</f>
        <v>....Human health and social work activities</v>
      </c>
      <c r="C36" s="1" t="str">
        <f t="shared" si="1"/>
        <v>Sub</v>
      </c>
      <c r="D36" s="1">
        <f t="shared" si="2"/>
        <v>2023</v>
      </c>
      <c r="E36" s="1" t="str">
        <f t="shared" si="3"/>
        <v>At Current Prices</v>
      </c>
      <c r="F36" s="3">
        <v>6372993.0</v>
      </c>
    </row>
    <row r="37" ht="15.75" customHeight="1">
      <c r="A37" s="1" t="str">
        <f t="array" ref="A37">INDEX(Reference!$A$2:$A$18, INT((ROW()-2)/(18*3*2)) + 1)</f>
        <v>Bangsamoro Autonomous Region in Muslim Mindanao</v>
      </c>
      <c r="B37" s="2" t="str">
        <f t="array" ref="B37">INDEX(Reference!$C$2:$C$19, MOD(ROW()-2, 18) + 1)</f>
        <v>....Other services</v>
      </c>
      <c r="C37" s="1" t="str">
        <f t="shared" si="1"/>
        <v>Sub</v>
      </c>
      <c r="D37" s="1">
        <f t="shared" si="2"/>
        <v>2023</v>
      </c>
      <c r="E37" s="1" t="str">
        <f t="shared" si="3"/>
        <v>At Current Prices</v>
      </c>
      <c r="F37" s="3">
        <v>935402.0</v>
      </c>
    </row>
    <row r="38" ht="15.75" customHeight="1">
      <c r="A38" s="1" t="str">
        <f t="array" ref="A38">INDEX(Reference!$A$2:$A$18, INT((ROW()-2)/(18*3*2)) + 1)</f>
        <v>Bangsamoro Autonomous Region in Muslim Mindanao</v>
      </c>
      <c r="B38" s="2" t="str">
        <f t="array" ref="B38">INDEX(Reference!$C$2:$C$19, MOD(ROW()-2, 18) + 1)</f>
        <v>..Agriculture, forestry, and fishing</v>
      </c>
      <c r="C38" s="1" t="str">
        <f t="shared" si="1"/>
        <v>Main</v>
      </c>
      <c r="D38" s="1">
        <f t="shared" si="2"/>
        <v>2024</v>
      </c>
      <c r="E38" s="1" t="str">
        <f t="shared" si="3"/>
        <v>At Current Prices</v>
      </c>
      <c r="F38" s="3">
        <v>1.40073739E8</v>
      </c>
    </row>
    <row r="39" ht="15.75" customHeight="1">
      <c r="A39" s="1" t="str">
        <f t="array" ref="A39">INDEX(Reference!$A$2:$A$18, INT((ROW()-2)/(18*3*2)) + 1)</f>
        <v>Bangsamoro Autonomous Region in Muslim Mindanao</v>
      </c>
      <c r="B39" s="2" t="str">
        <f t="array" ref="B39">INDEX(Reference!$C$2:$C$19, MOD(ROW()-2, 18) + 1)</f>
        <v>..Industry</v>
      </c>
      <c r="C39" s="1" t="str">
        <f t="shared" si="1"/>
        <v>Main</v>
      </c>
      <c r="D39" s="1">
        <f t="shared" si="2"/>
        <v>2024</v>
      </c>
      <c r="E39" s="1" t="str">
        <f t="shared" si="3"/>
        <v>At Current Prices</v>
      </c>
      <c r="F39" s="3">
        <v>9.9466093E7</v>
      </c>
    </row>
    <row r="40" ht="15.75" customHeight="1">
      <c r="A40" s="1" t="str">
        <f t="array" ref="A40">INDEX(Reference!$A$2:$A$18, INT((ROW()-2)/(18*3*2)) + 1)</f>
        <v>Bangsamoro Autonomous Region in Muslim Mindanao</v>
      </c>
      <c r="B40" s="2" t="str">
        <f t="array" ref="B40">INDEX(Reference!$C$2:$C$19, MOD(ROW()-2, 18) + 1)</f>
        <v>....Mining and quarrying</v>
      </c>
      <c r="C40" s="1" t="str">
        <f t="shared" si="1"/>
        <v>Sub</v>
      </c>
      <c r="D40" s="1">
        <f t="shared" si="2"/>
        <v>2024</v>
      </c>
      <c r="E40" s="1" t="str">
        <f t="shared" si="3"/>
        <v>At Current Prices</v>
      </c>
      <c r="F40" s="3">
        <v>2688622.0</v>
      </c>
    </row>
    <row r="41" ht="15.75" customHeight="1">
      <c r="A41" s="1" t="str">
        <f t="array" ref="A41">INDEX(Reference!$A$2:$A$18, INT((ROW()-2)/(18*3*2)) + 1)</f>
        <v>Bangsamoro Autonomous Region in Muslim Mindanao</v>
      </c>
      <c r="B41" s="2" t="str">
        <f t="array" ref="B41">INDEX(Reference!$C$2:$C$19, MOD(ROW()-2, 18) + 1)</f>
        <v>....Manufacturing</v>
      </c>
      <c r="C41" s="1" t="str">
        <f t="shared" si="1"/>
        <v>Sub</v>
      </c>
      <c r="D41" s="1">
        <f t="shared" si="2"/>
        <v>2024</v>
      </c>
      <c r="E41" s="1" t="str">
        <f t="shared" si="3"/>
        <v>At Current Prices</v>
      </c>
      <c r="F41" s="3">
        <v>3.7239726E7</v>
      </c>
    </row>
    <row r="42" ht="15.75" customHeight="1">
      <c r="A42" s="1" t="str">
        <f t="array" ref="A42">INDEX(Reference!$A$2:$A$18, INT((ROW()-2)/(18*3*2)) + 1)</f>
        <v>Bangsamoro Autonomous Region in Muslim Mindanao</v>
      </c>
      <c r="B42" s="2" t="str">
        <f t="array" ref="B42">INDEX(Reference!$C$2:$C$19, MOD(ROW()-2, 18) + 1)</f>
        <v>....Electricity, steam, water and waste management</v>
      </c>
      <c r="C42" s="1" t="str">
        <f t="shared" si="1"/>
        <v>Sub</v>
      </c>
      <c r="D42" s="1">
        <f t="shared" si="2"/>
        <v>2024</v>
      </c>
      <c r="E42" s="1" t="str">
        <f t="shared" si="3"/>
        <v>At Current Prices</v>
      </c>
      <c r="F42" s="3">
        <v>5.1488932E7</v>
      </c>
    </row>
    <row r="43" ht="15.75" customHeight="1">
      <c r="A43" s="1" t="str">
        <f t="array" ref="A43">INDEX(Reference!$A$2:$A$18, INT((ROW()-2)/(18*3*2)) + 1)</f>
        <v>Bangsamoro Autonomous Region in Muslim Mindanao</v>
      </c>
      <c r="B43" s="2" t="str">
        <f t="array" ref="B43">INDEX(Reference!$C$2:$C$19, MOD(ROW()-2, 18) + 1)</f>
        <v>....Construction</v>
      </c>
      <c r="C43" s="1" t="str">
        <f t="shared" si="1"/>
        <v>Sub</v>
      </c>
      <c r="D43" s="1">
        <f t="shared" si="2"/>
        <v>2024</v>
      </c>
      <c r="E43" s="1" t="str">
        <f t="shared" si="3"/>
        <v>At Current Prices</v>
      </c>
      <c r="F43" s="3">
        <v>8048814.0</v>
      </c>
    </row>
    <row r="44" ht="15.75" customHeight="1">
      <c r="A44" s="1" t="str">
        <f t="array" ref="A44">INDEX(Reference!$A$2:$A$18, INT((ROW()-2)/(18*3*2)) + 1)</f>
        <v>Bangsamoro Autonomous Region in Muslim Mindanao</v>
      </c>
      <c r="B44" s="2" t="str">
        <f t="array" ref="B44">INDEX(Reference!$C$2:$C$19, MOD(ROW()-2, 18) + 1)</f>
        <v>..Services</v>
      </c>
      <c r="C44" s="1" t="str">
        <f t="shared" si="1"/>
        <v>Main</v>
      </c>
      <c r="D44" s="1">
        <f t="shared" si="2"/>
        <v>2024</v>
      </c>
      <c r="E44" s="1" t="str">
        <f t="shared" si="3"/>
        <v>At Current Prices</v>
      </c>
      <c r="F44" s="3">
        <v>1.46588151E8</v>
      </c>
    </row>
    <row r="45" ht="15.75" customHeight="1">
      <c r="A45" s="1" t="str">
        <f t="array" ref="A45">INDEX(Reference!$A$2:$A$18, INT((ROW()-2)/(18*3*2)) + 1)</f>
        <v>Bangsamoro Autonomous Region in Muslim Mindanao</v>
      </c>
      <c r="B45" s="2" t="str">
        <f t="array" ref="B45">INDEX(Reference!$C$2:$C$19, MOD(ROW()-2, 18) + 1)</f>
        <v>....Wholesale and retail trade; repair of motor vehicles and motorcycles</v>
      </c>
      <c r="C45" s="1" t="str">
        <f t="shared" si="1"/>
        <v>Sub</v>
      </c>
      <c r="D45" s="1">
        <f t="shared" si="2"/>
        <v>2024</v>
      </c>
      <c r="E45" s="1" t="str">
        <f t="shared" si="3"/>
        <v>At Current Prices</v>
      </c>
      <c r="F45" s="3">
        <v>3.388579E7</v>
      </c>
    </row>
    <row r="46" ht="15.75" customHeight="1">
      <c r="A46" s="1" t="str">
        <f t="array" ref="A46">INDEX(Reference!$A$2:$A$18, INT((ROW()-2)/(18*3*2)) + 1)</f>
        <v>Bangsamoro Autonomous Region in Muslim Mindanao</v>
      </c>
      <c r="B46" s="2" t="str">
        <f t="array" ref="B46">INDEX(Reference!$C$2:$C$19, MOD(ROW()-2, 18) + 1)</f>
        <v>....Transportation and storage</v>
      </c>
      <c r="C46" s="1" t="str">
        <f t="shared" si="1"/>
        <v>Sub</v>
      </c>
      <c r="D46" s="1">
        <f t="shared" si="2"/>
        <v>2024</v>
      </c>
      <c r="E46" s="1" t="str">
        <f t="shared" si="3"/>
        <v>At Current Prices</v>
      </c>
      <c r="F46" s="3">
        <v>1.9360331E7</v>
      </c>
    </row>
    <row r="47" ht="15.75" customHeight="1">
      <c r="A47" s="1" t="str">
        <f t="array" ref="A47">INDEX(Reference!$A$2:$A$18, INT((ROW()-2)/(18*3*2)) + 1)</f>
        <v>Bangsamoro Autonomous Region in Muslim Mindanao</v>
      </c>
      <c r="B47" s="2" t="str">
        <f t="array" ref="B47">INDEX(Reference!$C$2:$C$19, MOD(ROW()-2, 18) + 1)</f>
        <v>....Accommodation and food service activities</v>
      </c>
      <c r="C47" s="1" t="str">
        <f t="shared" si="1"/>
        <v>Sub</v>
      </c>
      <c r="D47" s="1">
        <f t="shared" si="2"/>
        <v>2024</v>
      </c>
      <c r="E47" s="1" t="str">
        <f t="shared" si="3"/>
        <v>At Current Prices</v>
      </c>
      <c r="F47" s="3">
        <v>2328392.0</v>
      </c>
    </row>
    <row r="48" ht="15.75" customHeight="1">
      <c r="A48" s="1" t="str">
        <f t="array" ref="A48">INDEX(Reference!$A$2:$A$18, INT((ROW()-2)/(18*3*2)) + 1)</f>
        <v>Bangsamoro Autonomous Region in Muslim Mindanao</v>
      </c>
      <c r="B48" s="2" t="str">
        <f t="array" ref="B48">INDEX(Reference!$C$2:$C$19, MOD(ROW()-2, 18) + 1)</f>
        <v>....Information and communication</v>
      </c>
      <c r="C48" s="1" t="str">
        <f t="shared" si="1"/>
        <v>Sub</v>
      </c>
      <c r="D48" s="1">
        <f t="shared" si="2"/>
        <v>2024</v>
      </c>
      <c r="E48" s="1" t="str">
        <f t="shared" si="3"/>
        <v>At Current Prices</v>
      </c>
      <c r="F48" s="3">
        <v>9084154.0</v>
      </c>
    </row>
    <row r="49" ht="15.75" customHeight="1">
      <c r="A49" s="1" t="str">
        <f t="array" ref="A49">INDEX(Reference!$A$2:$A$18, INT((ROW()-2)/(18*3*2)) + 1)</f>
        <v>Bangsamoro Autonomous Region in Muslim Mindanao</v>
      </c>
      <c r="B49" s="2" t="str">
        <f t="array" ref="B49">INDEX(Reference!$C$2:$C$19, MOD(ROW()-2, 18) + 1)</f>
        <v>....Financial and insurance activities</v>
      </c>
      <c r="C49" s="1" t="str">
        <f t="shared" si="1"/>
        <v>Sub</v>
      </c>
      <c r="D49" s="1">
        <f t="shared" si="2"/>
        <v>2024</v>
      </c>
      <c r="E49" s="1" t="str">
        <f t="shared" si="3"/>
        <v>At Current Prices</v>
      </c>
      <c r="F49" s="3">
        <v>6512642.0</v>
      </c>
    </row>
    <row r="50" ht="15.75" customHeight="1">
      <c r="A50" s="1" t="str">
        <f t="array" ref="A50">INDEX(Reference!$A$2:$A$18, INT((ROW()-2)/(18*3*2)) + 1)</f>
        <v>Bangsamoro Autonomous Region in Muslim Mindanao</v>
      </c>
      <c r="B50" s="2" t="str">
        <f t="array" ref="B50">INDEX(Reference!$C$2:$C$19, MOD(ROW()-2, 18) + 1)</f>
        <v>....Real estate and ownership of dwellings</v>
      </c>
      <c r="C50" s="1" t="str">
        <f t="shared" si="1"/>
        <v>Sub</v>
      </c>
      <c r="D50" s="1">
        <f t="shared" si="2"/>
        <v>2024</v>
      </c>
      <c r="E50" s="1" t="str">
        <f t="shared" si="3"/>
        <v>At Current Prices</v>
      </c>
      <c r="F50" s="3">
        <v>6769067.0</v>
      </c>
    </row>
    <row r="51" ht="15.75" customHeight="1">
      <c r="A51" s="1" t="str">
        <f t="array" ref="A51">INDEX(Reference!$A$2:$A$18, INT((ROW()-2)/(18*3*2)) + 1)</f>
        <v>Bangsamoro Autonomous Region in Muslim Mindanao</v>
      </c>
      <c r="B51" s="2" t="str">
        <f t="array" ref="B51">INDEX(Reference!$C$2:$C$19, MOD(ROW()-2, 18) + 1)</f>
        <v>....Professional and business services</v>
      </c>
      <c r="C51" s="1" t="str">
        <f t="shared" si="1"/>
        <v>Sub</v>
      </c>
      <c r="D51" s="1">
        <f t="shared" si="2"/>
        <v>2024</v>
      </c>
      <c r="E51" s="1" t="str">
        <f t="shared" si="3"/>
        <v>At Current Prices</v>
      </c>
      <c r="F51" s="3">
        <v>1161756.0</v>
      </c>
    </row>
    <row r="52" ht="15.75" customHeight="1">
      <c r="A52" s="1" t="str">
        <f t="array" ref="A52">INDEX(Reference!$A$2:$A$18, INT((ROW()-2)/(18*3*2)) + 1)</f>
        <v>Bangsamoro Autonomous Region in Muslim Mindanao</v>
      </c>
      <c r="B52" s="2" t="str">
        <f t="array" ref="B52">INDEX(Reference!$C$2:$C$19, MOD(ROW()-2, 18) + 1)</f>
        <v>....Public administration and defense; compulsory social activities</v>
      </c>
      <c r="C52" s="1" t="str">
        <f t="shared" si="1"/>
        <v>Sub</v>
      </c>
      <c r="D52" s="1">
        <f t="shared" si="2"/>
        <v>2024</v>
      </c>
      <c r="E52" s="1" t="str">
        <f t="shared" si="3"/>
        <v>At Current Prices</v>
      </c>
      <c r="F52" s="3">
        <v>3.3511317E7</v>
      </c>
    </row>
    <row r="53" ht="15.75" customHeight="1">
      <c r="A53" s="1" t="str">
        <f t="array" ref="A53">INDEX(Reference!$A$2:$A$18, INT((ROW()-2)/(18*3*2)) + 1)</f>
        <v>Bangsamoro Autonomous Region in Muslim Mindanao</v>
      </c>
      <c r="B53" s="2" t="str">
        <f t="array" ref="B53">INDEX(Reference!$C$2:$C$19, MOD(ROW()-2, 18) + 1)</f>
        <v>....Education</v>
      </c>
      <c r="C53" s="1" t="str">
        <f t="shared" si="1"/>
        <v>Sub</v>
      </c>
      <c r="D53" s="1">
        <f t="shared" si="2"/>
        <v>2024</v>
      </c>
      <c r="E53" s="1" t="str">
        <f t="shared" si="3"/>
        <v>At Current Prices</v>
      </c>
      <c r="F53" s="3">
        <v>2.565754E7</v>
      </c>
    </row>
    <row r="54" ht="15.75" customHeight="1">
      <c r="A54" s="1" t="str">
        <f t="array" ref="A54">INDEX(Reference!$A$2:$A$18, INT((ROW()-2)/(18*3*2)) + 1)</f>
        <v>Bangsamoro Autonomous Region in Muslim Mindanao</v>
      </c>
      <c r="B54" s="2" t="str">
        <f t="array" ref="B54">INDEX(Reference!$C$2:$C$19, MOD(ROW()-2, 18) + 1)</f>
        <v>....Human health and social work activities</v>
      </c>
      <c r="C54" s="1" t="str">
        <f t="shared" si="1"/>
        <v>Sub</v>
      </c>
      <c r="D54" s="1">
        <f t="shared" si="2"/>
        <v>2024</v>
      </c>
      <c r="E54" s="1" t="str">
        <f t="shared" si="3"/>
        <v>At Current Prices</v>
      </c>
      <c r="F54" s="3">
        <v>7304582.0</v>
      </c>
    </row>
    <row r="55" ht="15.75" customHeight="1">
      <c r="A55" s="1" t="str">
        <f t="array" ref="A55">INDEX(Reference!$A$2:$A$18, INT((ROW()-2)/(18*3*2)) + 1)</f>
        <v>Bangsamoro Autonomous Region in Muslim Mindanao</v>
      </c>
      <c r="B55" s="2" t="str">
        <f t="array" ref="B55">INDEX(Reference!$C$2:$C$19, MOD(ROW()-2, 18) + 1)</f>
        <v>....Other services</v>
      </c>
      <c r="C55" s="1" t="str">
        <f t="shared" si="1"/>
        <v>Sub</v>
      </c>
      <c r="D55" s="1">
        <f t="shared" si="2"/>
        <v>2024</v>
      </c>
      <c r="E55" s="1" t="str">
        <f t="shared" si="3"/>
        <v>At Current Prices</v>
      </c>
      <c r="F55" s="3">
        <v>1012580.0</v>
      </c>
    </row>
    <row r="56" ht="15.75" customHeight="1">
      <c r="A56" s="1" t="str">
        <f t="array" ref="A56">INDEX(Reference!$A$2:$A$18, INT((ROW()-2)/(18*3*2)) + 1)</f>
        <v>Bangsamoro Autonomous Region in Muslim Mindanao</v>
      </c>
      <c r="B56" s="2" t="str">
        <f t="array" ref="B56">INDEX(Reference!$C$2:$C$19, MOD(ROW()-2, 18) + 1)</f>
        <v>..Agriculture, forestry, and fishing</v>
      </c>
      <c r="C56" s="1" t="str">
        <f t="shared" si="1"/>
        <v>Main</v>
      </c>
      <c r="D56" s="1">
        <f t="shared" si="2"/>
        <v>2022</v>
      </c>
      <c r="E56" s="1" t="str">
        <f t="shared" si="3"/>
        <v>At Constant 2018 Prices</v>
      </c>
      <c r="F56" s="3">
        <v>9.9106452E7</v>
      </c>
    </row>
    <row r="57" ht="15.75" customHeight="1">
      <c r="A57" s="1" t="str">
        <f t="array" ref="A57">INDEX(Reference!$A$2:$A$18, INT((ROW()-2)/(18*3*2)) + 1)</f>
        <v>Bangsamoro Autonomous Region in Muslim Mindanao</v>
      </c>
      <c r="B57" s="2" t="str">
        <f t="array" ref="B57">INDEX(Reference!$C$2:$C$19, MOD(ROW()-2, 18) + 1)</f>
        <v>..Industry</v>
      </c>
      <c r="C57" s="1" t="str">
        <f t="shared" si="1"/>
        <v>Main</v>
      </c>
      <c r="D57" s="1">
        <f t="shared" si="2"/>
        <v>2022</v>
      </c>
      <c r="E57" s="1" t="str">
        <f t="shared" si="3"/>
        <v>At Constant 2018 Prices</v>
      </c>
      <c r="F57" s="3">
        <v>6.8750637E7</v>
      </c>
    </row>
    <row r="58" ht="15.75" customHeight="1">
      <c r="A58" s="1" t="str">
        <f t="array" ref="A58">INDEX(Reference!$A$2:$A$18, INT((ROW()-2)/(18*3*2)) + 1)</f>
        <v>Bangsamoro Autonomous Region in Muslim Mindanao</v>
      </c>
      <c r="B58" s="2" t="str">
        <f t="array" ref="B58">INDEX(Reference!$C$2:$C$19, MOD(ROW()-2, 18) + 1)</f>
        <v>....Mining and quarrying</v>
      </c>
      <c r="C58" s="1" t="str">
        <f t="shared" si="1"/>
        <v>Sub</v>
      </c>
      <c r="D58" s="1">
        <f t="shared" si="2"/>
        <v>2022</v>
      </c>
      <c r="E58" s="1" t="str">
        <f t="shared" si="3"/>
        <v>At Constant 2018 Prices</v>
      </c>
      <c r="F58" s="3">
        <v>1659706.0</v>
      </c>
    </row>
    <row r="59" ht="15.75" customHeight="1">
      <c r="A59" s="1" t="str">
        <f t="array" ref="A59">INDEX(Reference!$A$2:$A$18, INT((ROW()-2)/(18*3*2)) + 1)</f>
        <v>Bangsamoro Autonomous Region in Muslim Mindanao</v>
      </c>
      <c r="B59" s="2" t="str">
        <f t="array" ref="B59">INDEX(Reference!$C$2:$C$19, MOD(ROW()-2, 18) + 1)</f>
        <v>....Manufacturing</v>
      </c>
      <c r="C59" s="1" t="str">
        <f t="shared" si="1"/>
        <v>Sub</v>
      </c>
      <c r="D59" s="1">
        <f t="shared" si="2"/>
        <v>2022</v>
      </c>
      <c r="E59" s="1" t="str">
        <f t="shared" si="3"/>
        <v>At Constant 2018 Prices</v>
      </c>
      <c r="F59" s="3">
        <v>2.7009478E7</v>
      </c>
    </row>
    <row r="60" ht="15.75" customHeight="1">
      <c r="A60" s="1" t="str">
        <f t="array" ref="A60">INDEX(Reference!$A$2:$A$18, INT((ROW()-2)/(18*3*2)) + 1)</f>
        <v>Bangsamoro Autonomous Region in Muslim Mindanao</v>
      </c>
      <c r="B60" s="2" t="str">
        <f t="array" ref="B60">INDEX(Reference!$C$2:$C$19, MOD(ROW()-2, 18) + 1)</f>
        <v>....Electricity, steam, water and waste management</v>
      </c>
      <c r="C60" s="1" t="str">
        <f t="shared" si="1"/>
        <v>Sub</v>
      </c>
      <c r="D60" s="1">
        <f t="shared" si="2"/>
        <v>2022</v>
      </c>
      <c r="E60" s="1" t="str">
        <f t="shared" si="3"/>
        <v>At Constant 2018 Prices</v>
      </c>
      <c r="F60" s="3">
        <v>3.5232176E7</v>
      </c>
    </row>
    <row r="61" ht="15.75" customHeight="1">
      <c r="A61" s="1" t="str">
        <f t="array" ref="A61">INDEX(Reference!$A$2:$A$18, INT((ROW()-2)/(18*3*2)) + 1)</f>
        <v>Bangsamoro Autonomous Region in Muslim Mindanao</v>
      </c>
      <c r="B61" s="2" t="str">
        <f t="array" ref="B61">INDEX(Reference!$C$2:$C$19, MOD(ROW()-2, 18) + 1)</f>
        <v>....Construction</v>
      </c>
      <c r="C61" s="1" t="str">
        <f t="shared" si="1"/>
        <v>Sub</v>
      </c>
      <c r="D61" s="1">
        <f t="shared" si="2"/>
        <v>2022</v>
      </c>
      <c r="E61" s="1" t="str">
        <f t="shared" si="3"/>
        <v>At Constant 2018 Prices</v>
      </c>
      <c r="F61" s="3">
        <v>4849277.0</v>
      </c>
    </row>
    <row r="62" ht="15.75" customHeight="1">
      <c r="A62" s="1" t="str">
        <f t="array" ref="A62">INDEX(Reference!$A$2:$A$18, INT((ROW()-2)/(18*3*2)) + 1)</f>
        <v>Bangsamoro Autonomous Region in Muslim Mindanao</v>
      </c>
      <c r="B62" s="2" t="str">
        <f t="array" ref="B62">INDEX(Reference!$C$2:$C$19, MOD(ROW()-2, 18) + 1)</f>
        <v>..Services</v>
      </c>
      <c r="C62" s="1" t="str">
        <f t="shared" si="1"/>
        <v>Main</v>
      </c>
      <c r="D62" s="1">
        <f t="shared" si="2"/>
        <v>2022</v>
      </c>
      <c r="E62" s="1" t="str">
        <f t="shared" si="3"/>
        <v>At Constant 2018 Prices</v>
      </c>
      <c r="F62" s="3">
        <v>1.12410829E8</v>
      </c>
    </row>
    <row r="63" ht="15.75" customHeight="1">
      <c r="A63" s="1" t="str">
        <f t="array" ref="A63">INDEX(Reference!$A$2:$A$18, INT((ROW()-2)/(18*3*2)) + 1)</f>
        <v>Bangsamoro Autonomous Region in Muslim Mindanao</v>
      </c>
      <c r="B63" s="2" t="str">
        <f t="array" ref="B63">INDEX(Reference!$C$2:$C$19, MOD(ROW()-2, 18) + 1)</f>
        <v>....Wholesale and retail trade; repair of motor vehicles and motorcycles</v>
      </c>
      <c r="C63" s="1" t="str">
        <f t="shared" si="1"/>
        <v>Sub</v>
      </c>
      <c r="D63" s="1">
        <f t="shared" si="2"/>
        <v>2022</v>
      </c>
      <c r="E63" s="1" t="str">
        <f t="shared" si="3"/>
        <v>At Constant 2018 Prices</v>
      </c>
      <c r="F63" s="3">
        <v>2.6849043E7</v>
      </c>
    </row>
    <row r="64" ht="15.75" customHeight="1">
      <c r="A64" s="1" t="str">
        <f t="array" ref="A64">INDEX(Reference!$A$2:$A$18, INT((ROW()-2)/(18*3*2)) + 1)</f>
        <v>Bangsamoro Autonomous Region in Muslim Mindanao</v>
      </c>
      <c r="B64" s="2" t="str">
        <f t="array" ref="B64">INDEX(Reference!$C$2:$C$19, MOD(ROW()-2, 18) + 1)</f>
        <v>....Transportation and storage</v>
      </c>
      <c r="C64" s="1" t="str">
        <f t="shared" si="1"/>
        <v>Sub</v>
      </c>
      <c r="D64" s="1">
        <f t="shared" si="2"/>
        <v>2022</v>
      </c>
      <c r="E64" s="1" t="str">
        <f t="shared" si="3"/>
        <v>At Constant 2018 Prices</v>
      </c>
      <c r="F64" s="3">
        <v>1.3305057E7</v>
      </c>
    </row>
    <row r="65" ht="15.75" customHeight="1">
      <c r="A65" s="1" t="str">
        <f t="array" ref="A65">INDEX(Reference!$A$2:$A$18, INT((ROW()-2)/(18*3*2)) + 1)</f>
        <v>Bangsamoro Autonomous Region in Muslim Mindanao</v>
      </c>
      <c r="B65" s="2" t="str">
        <f t="array" ref="B65">INDEX(Reference!$C$2:$C$19, MOD(ROW()-2, 18) + 1)</f>
        <v>....Accommodation and food service activities</v>
      </c>
      <c r="C65" s="1" t="str">
        <f t="shared" si="1"/>
        <v>Sub</v>
      </c>
      <c r="D65" s="1">
        <f t="shared" si="2"/>
        <v>2022</v>
      </c>
      <c r="E65" s="1" t="str">
        <f t="shared" si="3"/>
        <v>At Constant 2018 Prices</v>
      </c>
      <c r="F65" s="3">
        <v>1506851.0</v>
      </c>
    </row>
    <row r="66" ht="15.75" customHeight="1">
      <c r="A66" s="1" t="str">
        <f t="array" ref="A66">INDEX(Reference!$A$2:$A$18, INT((ROW()-2)/(18*3*2)) + 1)</f>
        <v>Bangsamoro Autonomous Region in Muslim Mindanao</v>
      </c>
      <c r="B66" s="2" t="str">
        <f t="array" ref="B66">INDEX(Reference!$C$2:$C$19, MOD(ROW()-2, 18) + 1)</f>
        <v>....Information and communication</v>
      </c>
      <c r="C66" s="1" t="str">
        <f t="shared" si="1"/>
        <v>Sub</v>
      </c>
      <c r="D66" s="1">
        <f t="shared" si="2"/>
        <v>2022</v>
      </c>
      <c r="E66" s="1" t="str">
        <f t="shared" si="3"/>
        <v>At Constant 2018 Prices</v>
      </c>
      <c r="F66" s="3">
        <v>7937990.0</v>
      </c>
    </row>
    <row r="67" ht="15.75" customHeight="1">
      <c r="A67" s="1" t="str">
        <f t="array" ref="A67">INDEX(Reference!$A$2:$A$18, INT((ROW()-2)/(18*3*2)) + 1)</f>
        <v>Bangsamoro Autonomous Region in Muslim Mindanao</v>
      </c>
      <c r="B67" s="2" t="str">
        <f t="array" ref="B67">INDEX(Reference!$C$2:$C$19, MOD(ROW()-2, 18) + 1)</f>
        <v>....Financial and insurance activities</v>
      </c>
      <c r="C67" s="1" t="str">
        <f t="shared" si="1"/>
        <v>Sub</v>
      </c>
      <c r="D67" s="1">
        <f t="shared" si="2"/>
        <v>2022</v>
      </c>
      <c r="E67" s="1" t="str">
        <f t="shared" si="3"/>
        <v>At Constant 2018 Prices</v>
      </c>
      <c r="F67" s="3">
        <v>4274070.0</v>
      </c>
    </row>
    <row r="68" ht="15.75" customHeight="1">
      <c r="A68" s="1" t="str">
        <f t="array" ref="A68">INDEX(Reference!$A$2:$A$18, INT((ROW()-2)/(18*3*2)) + 1)</f>
        <v>Bangsamoro Autonomous Region in Muslim Mindanao</v>
      </c>
      <c r="B68" s="2" t="str">
        <f t="array" ref="B68">INDEX(Reference!$C$2:$C$19, MOD(ROW()-2, 18) + 1)</f>
        <v>....Real estate and ownership of dwellings</v>
      </c>
      <c r="C68" s="1" t="str">
        <f t="shared" si="1"/>
        <v>Sub</v>
      </c>
      <c r="D68" s="1">
        <f t="shared" si="2"/>
        <v>2022</v>
      </c>
      <c r="E68" s="1" t="str">
        <f t="shared" si="3"/>
        <v>At Constant 2018 Prices</v>
      </c>
      <c r="F68" s="3">
        <v>5804941.0</v>
      </c>
    </row>
    <row r="69" ht="15.75" customHeight="1">
      <c r="A69" s="1" t="str">
        <f t="array" ref="A69">INDEX(Reference!$A$2:$A$18, INT((ROW()-2)/(18*3*2)) + 1)</f>
        <v>Bangsamoro Autonomous Region in Muslim Mindanao</v>
      </c>
      <c r="B69" s="2" t="str">
        <f t="array" ref="B69">INDEX(Reference!$C$2:$C$19, MOD(ROW()-2, 18) + 1)</f>
        <v>....Professional and business services</v>
      </c>
      <c r="C69" s="1" t="str">
        <f t="shared" si="1"/>
        <v>Sub</v>
      </c>
      <c r="D69" s="1">
        <f t="shared" si="2"/>
        <v>2022</v>
      </c>
      <c r="E69" s="1" t="str">
        <f t="shared" si="3"/>
        <v>At Constant 2018 Prices</v>
      </c>
      <c r="F69" s="3">
        <v>905847.0</v>
      </c>
    </row>
    <row r="70" ht="15.75" customHeight="1">
      <c r="A70" s="1" t="str">
        <f t="array" ref="A70">INDEX(Reference!$A$2:$A$18, INT((ROW()-2)/(18*3*2)) + 1)</f>
        <v>Bangsamoro Autonomous Region in Muslim Mindanao</v>
      </c>
      <c r="B70" s="2" t="str">
        <f t="array" ref="B70">INDEX(Reference!$C$2:$C$19, MOD(ROW()-2, 18) + 1)</f>
        <v>....Public administration and defense; compulsory social activities</v>
      </c>
      <c r="C70" s="1" t="str">
        <f t="shared" si="1"/>
        <v>Sub</v>
      </c>
      <c r="D70" s="1">
        <f t="shared" si="2"/>
        <v>2022</v>
      </c>
      <c r="E70" s="1" t="str">
        <f t="shared" si="3"/>
        <v>At Constant 2018 Prices</v>
      </c>
      <c r="F70" s="3">
        <v>2.5671344E7</v>
      </c>
    </row>
    <row r="71" ht="15.75" customHeight="1">
      <c r="A71" s="1" t="str">
        <f t="array" ref="A71">INDEX(Reference!$A$2:$A$18, INT((ROW()-2)/(18*3*2)) + 1)</f>
        <v>Bangsamoro Autonomous Region in Muslim Mindanao</v>
      </c>
      <c r="B71" s="2" t="str">
        <f t="array" ref="B71">INDEX(Reference!$C$2:$C$19, MOD(ROW()-2, 18) + 1)</f>
        <v>....Education</v>
      </c>
      <c r="C71" s="1" t="str">
        <f t="shared" si="1"/>
        <v>Sub</v>
      </c>
      <c r="D71" s="1">
        <f t="shared" si="2"/>
        <v>2022</v>
      </c>
      <c r="E71" s="1" t="str">
        <f t="shared" si="3"/>
        <v>At Constant 2018 Prices</v>
      </c>
      <c r="F71" s="3">
        <v>2.0294407E7</v>
      </c>
    </row>
    <row r="72" ht="15.75" customHeight="1">
      <c r="A72" s="1" t="str">
        <f t="array" ref="A72">INDEX(Reference!$A$2:$A$18, INT((ROW()-2)/(18*3*2)) + 1)</f>
        <v>Bangsamoro Autonomous Region in Muslim Mindanao</v>
      </c>
      <c r="B72" s="2" t="str">
        <f t="array" ref="B72">INDEX(Reference!$C$2:$C$19, MOD(ROW()-2, 18) + 1)</f>
        <v>....Human health and social work activities</v>
      </c>
      <c r="C72" s="1" t="str">
        <f t="shared" si="1"/>
        <v>Sub</v>
      </c>
      <c r="D72" s="1">
        <f t="shared" si="2"/>
        <v>2022</v>
      </c>
      <c r="E72" s="1" t="str">
        <f t="shared" si="3"/>
        <v>At Constant 2018 Prices</v>
      </c>
      <c r="F72" s="3">
        <v>5149351.0</v>
      </c>
    </row>
    <row r="73" ht="15.75" customHeight="1">
      <c r="A73" s="1" t="str">
        <f t="array" ref="A73">INDEX(Reference!$A$2:$A$18, INT((ROW()-2)/(18*3*2)) + 1)</f>
        <v>Bangsamoro Autonomous Region in Muslim Mindanao</v>
      </c>
      <c r="B73" s="2" t="str">
        <f t="array" ref="B73">INDEX(Reference!$C$2:$C$19, MOD(ROW()-2, 18) + 1)</f>
        <v>....Other services</v>
      </c>
      <c r="C73" s="1" t="str">
        <f t="shared" si="1"/>
        <v>Sub</v>
      </c>
      <c r="D73" s="1">
        <f t="shared" si="2"/>
        <v>2022</v>
      </c>
      <c r="E73" s="1" t="str">
        <f t="shared" si="3"/>
        <v>At Constant 2018 Prices</v>
      </c>
      <c r="F73" s="3">
        <v>711928.0</v>
      </c>
    </row>
    <row r="74" ht="15.75" customHeight="1">
      <c r="A74" s="1" t="str">
        <f t="array" ref="A74">INDEX(Reference!$A$2:$A$18, INT((ROW()-2)/(18*3*2)) + 1)</f>
        <v>Bangsamoro Autonomous Region in Muslim Mindanao</v>
      </c>
      <c r="B74" s="2" t="str">
        <f t="array" ref="B74">INDEX(Reference!$C$2:$C$19, MOD(ROW()-2, 18) + 1)</f>
        <v>..Agriculture, forestry, and fishing</v>
      </c>
      <c r="C74" s="1" t="str">
        <f t="shared" si="1"/>
        <v>Main</v>
      </c>
      <c r="D74" s="1">
        <f t="shared" si="2"/>
        <v>2023</v>
      </c>
      <c r="E74" s="1" t="str">
        <f t="shared" si="3"/>
        <v>At Constant 2018 Prices</v>
      </c>
      <c r="F74" s="3">
        <v>1.01439131E8</v>
      </c>
    </row>
    <row r="75" ht="15.75" customHeight="1">
      <c r="A75" s="1" t="str">
        <f t="array" ref="A75">INDEX(Reference!$A$2:$A$18, INT((ROW()-2)/(18*3*2)) + 1)</f>
        <v>Bangsamoro Autonomous Region in Muslim Mindanao</v>
      </c>
      <c r="B75" s="2" t="str">
        <f t="array" ref="B75">INDEX(Reference!$C$2:$C$19, MOD(ROW()-2, 18) + 1)</f>
        <v>..Industry</v>
      </c>
      <c r="C75" s="1" t="str">
        <f t="shared" si="1"/>
        <v>Main</v>
      </c>
      <c r="D75" s="1">
        <f t="shared" si="2"/>
        <v>2023</v>
      </c>
      <c r="E75" s="1" t="str">
        <f t="shared" si="3"/>
        <v>At Constant 2018 Prices</v>
      </c>
      <c r="F75" s="3">
        <v>7.0509157E7</v>
      </c>
    </row>
    <row r="76" ht="15.75" customHeight="1">
      <c r="A76" s="1" t="str">
        <f t="array" ref="A76">INDEX(Reference!$A$2:$A$18, INT((ROW()-2)/(18*3*2)) + 1)</f>
        <v>Bangsamoro Autonomous Region in Muslim Mindanao</v>
      </c>
      <c r="B76" s="2" t="str">
        <f t="array" ref="B76">INDEX(Reference!$C$2:$C$19, MOD(ROW()-2, 18) + 1)</f>
        <v>....Mining and quarrying</v>
      </c>
      <c r="C76" s="1" t="str">
        <f t="shared" si="1"/>
        <v>Sub</v>
      </c>
      <c r="D76" s="1">
        <f t="shared" si="2"/>
        <v>2023</v>
      </c>
      <c r="E76" s="1" t="str">
        <f t="shared" si="3"/>
        <v>At Constant 2018 Prices</v>
      </c>
      <c r="F76" s="3">
        <v>1912565.0</v>
      </c>
    </row>
    <row r="77" ht="15.75" customHeight="1">
      <c r="A77" s="1" t="str">
        <f t="array" ref="A77">INDEX(Reference!$A$2:$A$18, INT((ROW()-2)/(18*3*2)) + 1)</f>
        <v>Bangsamoro Autonomous Region in Muslim Mindanao</v>
      </c>
      <c r="B77" s="2" t="str">
        <f t="array" ref="B77">INDEX(Reference!$C$2:$C$19, MOD(ROW()-2, 18) + 1)</f>
        <v>....Manufacturing</v>
      </c>
      <c r="C77" s="1" t="str">
        <f t="shared" si="1"/>
        <v>Sub</v>
      </c>
      <c r="D77" s="1">
        <f t="shared" si="2"/>
        <v>2023</v>
      </c>
      <c r="E77" s="1" t="str">
        <f t="shared" si="3"/>
        <v>At Constant 2018 Prices</v>
      </c>
      <c r="F77" s="3">
        <v>2.7331735E7</v>
      </c>
    </row>
    <row r="78" ht="15.75" customHeight="1">
      <c r="A78" s="1" t="str">
        <f t="array" ref="A78">INDEX(Reference!$A$2:$A$18, INT((ROW()-2)/(18*3*2)) + 1)</f>
        <v>Bangsamoro Autonomous Region in Muslim Mindanao</v>
      </c>
      <c r="B78" s="2" t="str">
        <f t="array" ref="B78">INDEX(Reference!$C$2:$C$19, MOD(ROW()-2, 18) + 1)</f>
        <v>....Electricity, steam, water and waste management</v>
      </c>
      <c r="C78" s="1" t="str">
        <f t="shared" si="1"/>
        <v>Sub</v>
      </c>
      <c r="D78" s="1">
        <f t="shared" si="2"/>
        <v>2023</v>
      </c>
      <c r="E78" s="1" t="str">
        <f t="shared" si="3"/>
        <v>At Constant 2018 Prices</v>
      </c>
      <c r="F78" s="3">
        <v>3.595485E7</v>
      </c>
    </row>
    <row r="79" ht="15.75" customHeight="1">
      <c r="A79" s="1" t="str">
        <f t="array" ref="A79">INDEX(Reference!$A$2:$A$18, INT((ROW()-2)/(18*3*2)) + 1)</f>
        <v>Bangsamoro Autonomous Region in Muslim Mindanao</v>
      </c>
      <c r="B79" s="2" t="str">
        <f t="array" ref="B79">INDEX(Reference!$C$2:$C$19, MOD(ROW()-2, 18) + 1)</f>
        <v>....Construction</v>
      </c>
      <c r="C79" s="1" t="str">
        <f t="shared" si="1"/>
        <v>Sub</v>
      </c>
      <c r="D79" s="1">
        <f t="shared" si="2"/>
        <v>2023</v>
      </c>
      <c r="E79" s="1" t="str">
        <f t="shared" si="3"/>
        <v>At Constant 2018 Prices</v>
      </c>
      <c r="F79" s="3">
        <v>5310007.0</v>
      </c>
    </row>
    <row r="80" ht="15.75" customHeight="1">
      <c r="A80" s="1" t="str">
        <f t="array" ref="A80">INDEX(Reference!$A$2:$A$18, INT((ROW()-2)/(18*3*2)) + 1)</f>
        <v>Bangsamoro Autonomous Region in Muslim Mindanao</v>
      </c>
      <c r="B80" s="2" t="str">
        <f t="array" ref="B80">INDEX(Reference!$C$2:$C$19, MOD(ROW()-2, 18) + 1)</f>
        <v>..Services</v>
      </c>
      <c r="C80" s="1" t="str">
        <f t="shared" si="1"/>
        <v>Main</v>
      </c>
      <c r="D80" s="1">
        <f t="shared" si="2"/>
        <v>2023</v>
      </c>
      <c r="E80" s="1" t="str">
        <f t="shared" si="3"/>
        <v>At Constant 2018 Prices</v>
      </c>
      <c r="F80" s="3">
        <v>1.19644542E8</v>
      </c>
    </row>
    <row r="81" ht="15.75" customHeight="1">
      <c r="A81" s="1" t="str">
        <f t="array" ref="A81">INDEX(Reference!$A$2:$A$18, INT((ROW()-2)/(18*3*2)) + 1)</f>
        <v>Bangsamoro Autonomous Region in Muslim Mindanao</v>
      </c>
      <c r="B81" s="2" t="str">
        <f t="array" ref="B81">INDEX(Reference!$C$2:$C$19, MOD(ROW()-2, 18) + 1)</f>
        <v>....Wholesale and retail trade; repair of motor vehicles and motorcycles</v>
      </c>
      <c r="C81" s="1" t="str">
        <f t="shared" si="1"/>
        <v>Sub</v>
      </c>
      <c r="D81" s="1">
        <f t="shared" si="2"/>
        <v>2023</v>
      </c>
      <c r="E81" s="1" t="str">
        <f t="shared" si="3"/>
        <v>At Constant 2018 Prices</v>
      </c>
      <c r="F81" s="3">
        <v>2.8480436E7</v>
      </c>
    </row>
    <row r="82" ht="15.75" customHeight="1">
      <c r="A82" s="1" t="str">
        <f t="array" ref="A82">INDEX(Reference!$A$2:$A$18, INT((ROW()-2)/(18*3*2)) + 1)</f>
        <v>Bangsamoro Autonomous Region in Muslim Mindanao</v>
      </c>
      <c r="B82" s="2" t="str">
        <f t="array" ref="B82">INDEX(Reference!$C$2:$C$19, MOD(ROW()-2, 18) + 1)</f>
        <v>....Transportation and storage</v>
      </c>
      <c r="C82" s="1" t="str">
        <f t="shared" si="1"/>
        <v>Sub</v>
      </c>
      <c r="D82" s="1">
        <f t="shared" si="2"/>
        <v>2023</v>
      </c>
      <c r="E82" s="1" t="str">
        <f t="shared" si="3"/>
        <v>At Constant 2018 Prices</v>
      </c>
      <c r="F82" s="3">
        <v>1.4590843E7</v>
      </c>
    </row>
    <row r="83" ht="15.75" customHeight="1">
      <c r="A83" s="1" t="str">
        <f t="array" ref="A83">INDEX(Reference!$A$2:$A$18, INT((ROW()-2)/(18*3*2)) + 1)</f>
        <v>Bangsamoro Autonomous Region in Muslim Mindanao</v>
      </c>
      <c r="B83" s="2" t="str">
        <f t="array" ref="B83">INDEX(Reference!$C$2:$C$19, MOD(ROW()-2, 18) + 1)</f>
        <v>....Accommodation and food service activities</v>
      </c>
      <c r="C83" s="1" t="str">
        <f t="shared" si="1"/>
        <v>Sub</v>
      </c>
      <c r="D83" s="1">
        <f t="shared" si="2"/>
        <v>2023</v>
      </c>
      <c r="E83" s="1" t="str">
        <f t="shared" si="3"/>
        <v>At Constant 2018 Prices</v>
      </c>
      <c r="F83" s="3">
        <v>1675159.0</v>
      </c>
    </row>
    <row r="84" ht="15.75" customHeight="1">
      <c r="A84" s="1" t="str">
        <f t="array" ref="A84">INDEX(Reference!$A$2:$A$18, INT((ROW()-2)/(18*3*2)) + 1)</f>
        <v>Bangsamoro Autonomous Region in Muslim Mindanao</v>
      </c>
      <c r="B84" s="2" t="str">
        <f t="array" ref="B84">INDEX(Reference!$C$2:$C$19, MOD(ROW()-2, 18) + 1)</f>
        <v>....Information and communication</v>
      </c>
      <c r="C84" s="1" t="str">
        <f t="shared" si="1"/>
        <v>Sub</v>
      </c>
      <c r="D84" s="1">
        <f t="shared" si="2"/>
        <v>2023</v>
      </c>
      <c r="E84" s="1" t="str">
        <f t="shared" si="3"/>
        <v>At Constant 2018 Prices</v>
      </c>
      <c r="F84" s="3">
        <v>8436996.0</v>
      </c>
    </row>
    <row r="85" ht="15.75" customHeight="1">
      <c r="A85" s="1" t="str">
        <f t="array" ref="A85">INDEX(Reference!$A$2:$A$18, INT((ROW()-2)/(18*3*2)) + 1)</f>
        <v>Bangsamoro Autonomous Region in Muslim Mindanao</v>
      </c>
      <c r="B85" s="2" t="str">
        <f t="array" ref="B85">INDEX(Reference!$C$2:$C$19, MOD(ROW()-2, 18) + 1)</f>
        <v>....Financial and insurance activities</v>
      </c>
      <c r="C85" s="1" t="str">
        <f t="shared" si="1"/>
        <v>Sub</v>
      </c>
      <c r="D85" s="1">
        <f t="shared" si="2"/>
        <v>2023</v>
      </c>
      <c r="E85" s="1" t="str">
        <f t="shared" si="3"/>
        <v>At Constant 2018 Prices</v>
      </c>
      <c r="F85" s="3">
        <v>4942163.0</v>
      </c>
    </row>
    <row r="86" ht="15.75" customHeight="1">
      <c r="A86" s="1" t="str">
        <f t="array" ref="A86">INDEX(Reference!$A$2:$A$18, INT((ROW()-2)/(18*3*2)) + 1)</f>
        <v>Bangsamoro Autonomous Region in Muslim Mindanao</v>
      </c>
      <c r="B86" s="2" t="str">
        <f t="array" ref="B86">INDEX(Reference!$C$2:$C$19, MOD(ROW()-2, 18) + 1)</f>
        <v>....Real estate and ownership of dwellings</v>
      </c>
      <c r="C86" s="1" t="str">
        <f t="shared" si="1"/>
        <v>Sub</v>
      </c>
      <c r="D86" s="1">
        <f t="shared" si="2"/>
        <v>2023</v>
      </c>
      <c r="E86" s="1" t="str">
        <f t="shared" si="3"/>
        <v>At Constant 2018 Prices</v>
      </c>
      <c r="F86" s="3">
        <v>5832397.0</v>
      </c>
    </row>
    <row r="87" ht="15.75" customHeight="1">
      <c r="A87" s="1" t="str">
        <f t="array" ref="A87">INDEX(Reference!$A$2:$A$18, INT((ROW()-2)/(18*3*2)) + 1)</f>
        <v>Bangsamoro Autonomous Region in Muslim Mindanao</v>
      </c>
      <c r="B87" s="2" t="str">
        <f t="array" ref="B87">INDEX(Reference!$C$2:$C$19, MOD(ROW()-2, 18) + 1)</f>
        <v>....Professional and business services</v>
      </c>
      <c r="C87" s="1" t="str">
        <f t="shared" si="1"/>
        <v>Sub</v>
      </c>
      <c r="D87" s="1">
        <f t="shared" si="2"/>
        <v>2023</v>
      </c>
      <c r="E87" s="1" t="str">
        <f t="shared" si="3"/>
        <v>At Constant 2018 Prices</v>
      </c>
      <c r="F87" s="3">
        <v>970375.0</v>
      </c>
    </row>
    <row r="88" ht="15.75" customHeight="1">
      <c r="A88" s="1" t="str">
        <f t="array" ref="A88">INDEX(Reference!$A$2:$A$18, INT((ROW()-2)/(18*3*2)) + 1)</f>
        <v>Bangsamoro Autonomous Region in Muslim Mindanao</v>
      </c>
      <c r="B88" s="2" t="str">
        <f t="array" ref="B88">INDEX(Reference!$C$2:$C$19, MOD(ROW()-2, 18) + 1)</f>
        <v>....Public administration and defense; compulsory social activities</v>
      </c>
      <c r="C88" s="1" t="str">
        <f t="shared" si="1"/>
        <v>Sub</v>
      </c>
      <c r="D88" s="1">
        <f t="shared" si="2"/>
        <v>2023</v>
      </c>
      <c r="E88" s="1" t="str">
        <f t="shared" si="3"/>
        <v>At Constant 2018 Prices</v>
      </c>
      <c r="F88" s="3">
        <v>2.7471623E7</v>
      </c>
    </row>
    <row r="89" ht="15.75" customHeight="1">
      <c r="A89" s="1" t="str">
        <f t="array" ref="A89">INDEX(Reference!$A$2:$A$18, INT((ROW()-2)/(18*3*2)) + 1)</f>
        <v>Bangsamoro Autonomous Region in Muslim Mindanao</v>
      </c>
      <c r="B89" s="2" t="str">
        <f t="array" ref="B89">INDEX(Reference!$C$2:$C$19, MOD(ROW()-2, 18) + 1)</f>
        <v>....Education</v>
      </c>
      <c r="C89" s="1" t="str">
        <f t="shared" si="1"/>
        <v>Sub</v>
      </c>
      <c r="D89" s="1">
        <f t="shared" si="2"/>
        <v>2023</v>
      </c>
      <c r="E89" s="1" t="str">
        <f t="shared" si="3"/>
        <v>At Constant 2018 Prices</v>
      </c>
      <c r="F89" s="3">
        <v>2.1071126E7</v>
      </c>
    </row>
    <row r="90" ht="15.75" customHeight="1">
      <c r="A90" s="1" t="str">
        <f t="array" ref="A90">INDEX(Reference!$A$2:$A$18, INT((ROW()-2)/(18*3*2)) + 1)</f>
        <v>Bangsamoro Autonomous Region in Muslim Mindanao</v>
      </c>
      <c r="B90" s="2" t="str">
        <f t="array" ref="B90">INDEX(Reference!$C$2:$C$19, MOD(ROW()-2, 18) + 1)</f>
        <v>....Human health and social work activities</v>
      </c>
      <c r="C90" s="1" t="str">
        <f t="shared" si="1"/>
        <v>Sub</v>
      </c>
      <c r="D90" s="1">
        <f t="shared" si="2"/>
        <v>2023</v>
      </c>
      <c r="E90" s="1" t="str">
        <f t="shared" si="3"/>
        <v>At Constant 2018 Prices</v>
      </c>
      <c r="F90" s="3">
        <v>5386999.0</v>
      </c>
    </row>
    <row r="91" ht="15.75" customHeight="1">
      <c r="A91" s="1" t="str">
        <f t="array" ref="A91">INDEX(Reference!$A$2:$A$18, INT((ROW()-2)/(18*3*2)) + 1)</f>
        <v>Bangsamoro Autonomous Region in Muslim Mindanao</v>
      </c>
      <c r="B91" s="2" t="str">
        <f t="array" ref="B91">INDEX(Reference!$C$2:$C$19, MOD(ROW()-2, 18) + 1)</f>
        <v>....Other services</v>
      </c>
      <c r="C91" s="1" t="str">
        <f t="shared" si="1"/>
        <v>Sub</v>
      </c>
      <c r="D91" s="1">
        <f t="shared" si="2"/>
        <v>2023</v>
      </c>
      <c r="E91" s="1" t="str">
        <f t="shared" si="3"/>
        <v>At Constant 2018 Prices</v>
      </c>
      <c r="F91" s="3">
        <v>786426.0</v>
      </c>
    </row>
    <row r="92" ht="15.75" customHeight="1">
      <c r="A92" s="1" t="str">
        <f t="array" ref="A92">INDEX(Reference!$A$2:$A$18, INT((ROW()-2)/(18*3*2)) + 1)</f>
        <v>Bangsamoro Autonomous Region in Muslim Mindanao</v>
      </c>
      <c r="B92" s="2" t="str">
        <f t="array" ref="B92">INDEX(Reference!$C$2:$C$19, MOD(ROW()-2, 18) + 1)</f>
        <v>..Agriculture, forestry, and fishing</v>
      </c>
      <c r="C92" s="1" t="str">
        <f t="shared" si="1"/>
        <v>Main</v>
      </c>
      <c r="D92" s="1">
        <f t="shared" si="2"/>
        <v>2024</v>
      </c>
      <c r="E92" s="1" t="str">
        <f t="shared" si="3"/>
        <v>At Constant 2018 Prices</v>
      </c>
      <c r="F92" s="3">
        <v>9.7176392E7</v>
      </c>
    </row>
    <row r="93" ht="15.75" customHeight="1">
      <c r="A93" s="1" t="str">
        <f t="array" ref="A93">INDEX(Reference!$A$2:$A$18, INT((ROW()-2)/(18*3*2)) + 1)</f>
        <v>Bangsamoro Autonomous Region in Muslim Mindanao</v>
      </c>
      <c r="B93" s="2" t="str">
        <f t="array" ref="B93">INDEX(Reference!$C$2:$C$19, MOD(ROW()-2, 18) + 1)</f>
        <v>..Industry</v>
      </c>
      <c r="C93" s="1" t="str">
        <f t="shared" si="1"/>
        <v>Main</v>
      </c>
      <c r="D93" s="1">
        <f t="shared" si="2"/>
        <v>2024</v>
      </c>
      <c r="E93" s="1" t="str">
        <f t="shared" si="3"/>
        <v>At Constant 2018 Prices</v>
      </c>
      <c r="F93" s="3">
        <v>7.6613748E7</v>
      </c>
    </row>
    <row r="94" ht="15.75" customHeight="1">
      <c r="A94" s="1" t="str">
        <f t="array" ref="A94">INDEX(Reference!$A$2:$A$18, INT((ROW()-2)/(18*3*2)) + 1)</f>
        <v>Bangsamoro Autonomous Region in Muslim Mindanao</v>
      </c>
      <c r="B94" s="2" t="str">
        <f t="array" ref="B94">INDEX(Reference!$C$2:$C$19, MOD(ROW()-2, 18) + 1)</f>
        <v>....Mining and quarrying</v>
      </c>
      <c r="C94" s="1" t="str">
        <f t="shared" si="1"/>
        <v>Sub</v>
      </c>
      <c r="D94" s="1">
        <f t="shared" si="2"/>
        <v>2024</v>
      </c>
      <c r="E94" s="1" t="str">
        <f t="shared" si="3"/>
        <v>At Constant 2018 Prices</v>
      </c>
      <c r="F94" s="3">
        <v>1746249.0</v>
      </c>
    </row>
    <row r="95" ht="15.75" customHeight="1">
      <c r="A95" s="1" t="str">
        <f t="array" ref="A95">INDEX(Reference!$A$2:$A$18, INT((ROW()-2)/(18*3*2)) + 1)</f>
        <v>Bangsamoro Autonomous Region in Muslim Mindanao</v>
      </c>
      <c r="B95" s="2" t="str">
        <f t="array" ref="B95">INDEX(Reference!$C$2:$C$19, MOD(ROW()-2, 18) + 1)</f>
        <v>....Manufacturing</v>
      </c>
      <c r="C95" s="1" t="str">
        <f t="shared" si="1"/>
        <v>Sub</v>
      </c>
      <c r="D95" s="1">
        <f t="shared" si="2"/>
        <v>2024</v>
      </c>
      <c r="E95" s="1" t="str">
        <f t="shared" si="3"/>
        <v>At Constant 2018 Prices</v>
      </c>
      <c r="F95" s="3">
        <v>2.890346E7</v>
      </c>
    </row>
    <row r="96" ht="15.75" customHeight="1">
      <c r="A96" s="1" t="str">
        <f t="array" ref="A96">INDEX(Reference!$A$2:$A$18, INT((ROW()-2)/(18*3*2)) + 1)</f>
        <v>Bangsamoro Autonomous Region in Muslim Mindanao</v>
      </c>
      <c r="B96" s="2" t="str">
        <f t="array" ref="B96">INDEX(Reference!$C$2:$C$19, MOD(ROW()-2, 18) + 1)</f>
        <v>....Electricity, steam, water and waste management</v>
      </c>
      <c r="C96" s="1" t="str">
        <f t="shared" si="1"/>
        <v>Sub</v>
      </c>
      <c r="D96" s="1">
        <f t="shared" si="2"/>
        <v>2024</v>
      </c>
      <c r="E96" s="1" t="str">
        <f t="shared" si="3"/>
        <v>At Constant 2018 Prices</v>
      </c>
      <c r="F96" s="3">
        <v>3.9275829E7</v>
      </c>
    </row>
    <row r="97" ht="15.75" customHeight="1">
      <c r="A97" s="1" t="str">
        <f t="array" ref="A97">INDEX(Reference!$A$2:$A$18, INT((ROW()-2)/(18*3*2)) + 1)</f>
        <v>Bangsamoro Autonomous Region in Muslim Mindanao</v>
      </c>
      <c r="B97" s="2" t="str">
        <f t="array" ref="B97">INDEX(Reference!$C$2:$C$19, MOD(ROW()-2, 18) + 1)</f>
        <v>....Construction</v>
      </c>
      <c r="C97" s="1" t="str">
        <f t="shared" si="1"/>
        <v>Sub</v>
      </c>
      <c r="D97" s="1">
        <f t="shared" si="2"/>
        <v>2024</v>
      </c>
      <c r="E97" s="1" t="str">
        <f t="shared" si="3"/>
        <v>At Constant 2018 Prices</v>
      </c>
      <c r="F97" s="3">
        <v>6688210.0</v>
      </c>
    </row>
    <row r="98" ht="15.75" customHeight="1">
      <c r="A98" s="1" t="str">
        <f t="array" ref="A98">INDEX(Reference!$A$2:$A$18, INT((ROW()-2)/(18*3*2)) + 1)</f>
        <v>Bangsamoro Autonomous Region in Muslim Mindanao</v>
      </c>
      <c r="B98" s="2" t="str">
        <f t="array" ref="B98">INDEX(Reference!$C$2:$C$19, MOD(ROW()-2, 18) + 1)</f>
        <v>..Services</v>
      </c>
      <c r="C98" s="1" t="str">
        <f t="shared" si="1"/>
        <v>Main</v>
      </c>
      <c r="D98" s="1">
        <f t="shared" si="2"/>
        <v>2024</v>
      </c>
      <c r="E98" s="1" t="str">
        <f t="shared" si="3"/>
        <v>At Constant 2018 Prices</v>
      </c>
      <c r="F98" s="3">
        <v>1.25694E8</v>
      </c>
    </row>
    <row r="99" ht="15.75" customHeight="1">
      <c r="A99" s="1" t="str">
        <f t="array" ref="A99">INDEX(Reference!$A$2:$A$18, INT((ROW()-2)/(18*3*2)) + 1)</f>
        <v>Bangsamoro Autonomous Region in Muslim Mindanao</v>
      </c>
      <c r="B99" s="2" t="str">
        <f t="array" ref="B99">INDEX(Reference!$C$2:$C$19, MOD(ROW()-2, 18) + 1)</f>
        <v>....Wholesale and retail trade; repair of motor vehicles and motorcycles</v>
      </c>
      <c r="C99" s="1" t="str">
        <f t="shared" si="1"/>
        <v>Sub</v>
      </c>
      <c r="D99" s="1">
        <f t="shared" si="2"/>
        <v>2024</v>
      </c>
      <c r="E99" s="1" t="str">
        <f t="shared" si="3"/>
        <v>At Constant 2018 Prices</v>
      </c>
      <c r="F99" s="3">
        <v>3.0628921E7</v>
      </c>
    </row>
    <row r="100" ht="15.75" customHeight="1">
      <c r="A100" s="1" t="str">
        <f t="array" ref="A100">INDEX(Reference!$A$2:$A$18, INT((ROW()-2)/(18*3*2)) + 1)</f>
        <v>Bangsamoro Autonomous Region in Muslim Mindanao</v>
      </c>
      <c r="B100" s="2" t="str">
        <f t="array" ref="B100">INDEX(Reference!$C$2:$C$19, MOD(ROW()-2, 18) + 1)</f>
        <v>....Transportation and storage</v>
      </c>
      <c r="C100" s="1" t="str">
        <f t="shared" si="1"/>
        <v>Sub</v>
      </c>
      <c r="D100" s="1">
        <f t="shared" si="2"/>
        <v>2024</v>
      </c>
      <c r="E100" s="1" t="str">
        <f t="shared" si="3"/>
        <v>At Constant 2018 Prices</v>
      </c>
      <c r="F100" s="3">
        <v>1.5362153E7</v>
      </c>
    </row>
    <row r="101" ht="15.75" customHeight="1">
      <c r="A101" s="1" t="str">
        <f t="array" ref="A101">INDEX(Reference!$A$2:$A$18, INT((ROW()-2)/(18*3*2)) + 1)</f>
        <v>Bangsamoro Autonomous Region in Muslim Mindanao</v>
      </c>
      <c r="B101" s="2" t="str">
        <f t="array" ref="B101">INDEX(Reference!$C$2:$C$19, MOD(ROW()-2, 18) + 1)</f>
        <v>....Accommodation and food service activities</v>
      </c>
      <c r="C101" s="1" t="str">
        <f t="shared" si="1"/>
        <v>Sub</v>
      </c>
      <c r="D101" s="1">
        <f t="shared" si="2"/>
        <v>2024</v>
      </c>
      <c r="E101" s="1" t="str">
        <f t="shared" si="3"/>
        <v>At Constant 2018 Prices</v>
      </c>
      <c r="F101" s="3">
        <v>1746655.0</v>
      </c>
    </row>
    <row r="102" ht="15.75" customHeight="1">
      <c r="A102" s="1" t="str">
        <f t="array" ref="A102">INDEX(Reference!$A$2:$A$18, INT((ROW()-2)/(18*3*2)) + 1)</f>
        <v>Bangsamoro Autonomous Region in Muslim Mindanao</v>
      </c>
      <c r="B102" s="2" t="str">
        <f t="array" ref="B102">INDEX(Reference!$C$2:$C$19, MOD(ROW()-2, 18) + 1)</f>
        <v>....Information and communication</v>
      </c>
      <c r="C102" s="1" t="str">
        <f t="shared" si="1"/>
        <v>Sub</v>
      </c>
      <c r="D102" s="1">
        <f t="shared" si="2"/>
        <v>2024</v>
      </c>
      <c r="E102" s="1" t="str">
        <f t="shared" si="3"/>
        <v>At Constant 2018 Prices</v>
      </c>
      <c r="F102" s="3">
        <v>9094691.0</v>
      </c>
    </row>
    <row r="103" ht="15.75" customHeight="1">
      <c r="A103" s="1" t="str">
        <f t="array" ref="A103">INDEX(Reference!$A$2:$A$18, INT((ROW()-2)/(18*3*2)) + 1)</f>
        <v>Bangsamoro Autonomous Region in Muslim Mindanao</v>
      </c>
      <c r="B103" s="2" t="str">
        <f t="array" ref="B103">INDEX(Reference!$C$2:$C$19, MOD(ROW()-2, 18) + 1)</f>
        <v>....Financial and insurance activities</v>
      </c>
      <c r="C103" s="1" t="str">
        <f t="shared" si="1"/>
        <v>Sub</v>
      </c>
      <c r="D103" s="1">
        <f t="shared" si="2"/>
        <v>2024</v>
      </c>
      <c r="E103" s="1" t="str">
        <f t="shared" si="3"/>
        <v>At Constant 2018 Prices</v>
      </c>
      <c r="F103" s="3">
        <v>5332106.0</v>
      </c>
    </row>
    <row r="104" ht="15.75" customHeight="1">
      <c r="A104" s="1" t="str">
        <f t="array" ref="A104">INDEX(Reference!$A$2:$A$18, INT((ROW()-2)/(18*3*2)) + 1)</f>
        <v>Bangsamoro Autonomous Region in Muslim Mindanao</v>
      </c>
      <c r="B104" s="2" t="str">
        <f t="array" ref="B104">INDEX(Reference!$C$2:$C$19, MOD(ROW()-2, 18) + 1)</f>
        <v>....Real estate and ownership of dwellings</v>
      </c>
      <c r="C104" s="1" t="str">
        <f t="shared" si="1"/>
        <v>Sub</v>
      </c>
      <c r="D104" s="1">
        <f t="shared" si="2"/>
        <v>2024</v>
      </c>
      <c r="E104" s="1" t="str">
        <f t="shared" si="3"/>
        <v>At Constant 2018 Prices</v>
      </c>
      <c r="F104" s="3">
        <v>6046149.0</v>
      </c>
    </row>
    <row r="105" ht="15.75" customHeight="1">
      <c r="A105" s="1" t="str">
        <f t="array" ref="A105">INDEX(Reference!$A$2:$A$18, INT((ROW()-2)/(18*3*2)) + 1)</f>
        <v>Bangsamoro Autonomous Region in Muslim Mindanao</v>
      </c>
      <c r="B105" s="2" t="str">
        <f t="array" ref="B105">INDEX(Reference!$C$2:$C$19, MOD(ROW()-2, 18) + 1)</f>
        <v>....Professional and business services</v>
      </c>
      <c r="C105" s="1" t="str">
        <f t="shared" si="1"/>
        <v>Sub</v>
      </c>
      <c r="D105" s="1">
        <f t="shared" si="2"/>
        <v>2024</v>
      </c>
      <c r="E105" s="1" t="str">
        <f t="shared" si="3"/>
        <v>At Constant 2018 Prices</v>
      </c>
      <c r="F105" s="3">
        <v>1091456.0</v>
      </c>
    </row>
    <row r="106" ht="15.75" customHeight="1">
      <c r="A106" s="1" t="str">
        <f t="array" ref="A106">INDEX(Reference!$A$2:$A$18, INT((ROW()-2)/(18*3*2)) + 1)</f>
        <v>Bangsamoro Autonomous Region in Muslim Mindanao</v>
      </c>
      <c r="B106" s="2" t="str">
        <f t="array" ref="B106">INDEX(Reference!$C$2:$C$19, MOD(ROW()-2, 18) + 1)</f>
        <v>....Public administration and defense; compulsory social activities</v>
      </c>
      <c r="C106" s="1" t="str">
        <f t="shared" si="1"/>
        <v>Sub</v>
      </c>
      <c r="D106" s="1">
        <f t="shared" si="2"/>
        <v>2024</v>
      </c>
      <c r="E106" s="1" t="str">
        <f t="shared" si="3"/>
        <v>At Constant 2018 Prices</v>
      </c>
      <c r="F106" s="3">
        <v>2.8066874E7</v>
      </c>
    </row>
    <row r="107" ht="15.75" customHeight="1">
      <c r="A107" s="1" t="str">
        <f t="array" ref="A107">INDEX(Reference!$A$2:$A$18, INT((ROW()-2)/(18*3*2)) + 1)</f>
        <v>Bangsamoro Autonomous Region in Muslim Mindanao</v>
      </c>
      <c r="B107" s="2" t="str">
        <f t="array" ref="B107">INDEX(Reference!$C$2:$C$19, MOD(ROW()-2, 18) + 1)</f>
        <v>....Education</v>
      </c>
      <c r="C107" s="1" t="str">
        <f t="shared" si="1"/>
        <v>Sub</v>
      </c>
      <c r="D107" s="1">
        <f t="shared" si="2"/>
        <v>2024</v>
      </c>
      <c r="E107" s="1" t="str">
        <f t="shared" si="3"/>
        <v>At Constant 2018 Prices</v>
      </c>
      <c r="F107" s="3">
        <v>2.1536871E7</v>
      </c>
    </row>
    <row r="108" ht="15.75" customHeight="1">
      <c r="A108" s="1" t="str">
        <f t="array" ref="A108">INDEX(Reference!$A$2:$A$18, INT((ROW()-2)/(18*3*2)) + 1)</f>
        <v>Bangsamoro Autonomous Region in Muslim Mindanao</v>
      </c>
      <c r="B108" s="2" t="str">
        <f t="array" ref="B108">INDEX(Reference!$C$2:$C$19, MOD(ROW()-2, 18) + 1)</f>
        <v>....Human health and social work activities</v>
      </c>
      <c r="C108" s="1" t="str">
        <f t="shared" si="1"/>
        <v>Sub</v>
      </c>
      <c r="D108" s="1">
        <f t="shared" si="2"/>
        <v>2024</v>
      </c>
      <c r="E108" s="1" t="str">
        <f t="shared" si="3"/>
        <v>At Constant 2018 Prices</v>
      </c>
      <c r="F108" s="3">
        <v>5971777.0</v>
      </c>
    </row>
    <row r="109" ht="15.75" customHeight="1">
      <c r="A109" s="1" t="str">
        <f t="array" ref="A109">INDEX(Reference!$A$2:$A$18, INT((ROW()-2)/(18*3*2)) + 1)</f>
        <v>Bangsamoro Autonomous Region in Muslim Mindanao</v>
      </c>
      <c r="B109" s="2" t="str">
        <f t="array" ref="B109">INDEX(Reference!$C$2:$C$19, MOD(ROW()-2, 18) + 1)</f>
        <v>....Other services</v>
      </c>
      <c r="C109" s="1" t="str">
        <f t="shared" si="1"/>
        <v>Sub</v>
      </c>
      <c r="D109" s="1">
        <f t="shared" si="2"/>
        <v>2024</v>
      </c>
      <c r="E109" s="1" t="str">
        <f t="shared" si="3"/>
        <v>At Constant 2018 Prices</v>
      </c>
      <c r="F109" s="3">
        <v>816347.0</v>
      </c>
    </row>
    <row r="110" ht="15.75" customHeight="1">
      <c r="A110" s="1" t="str">
        <f t="array" ref="A110">INDEX(Reference!$A$2:$A$18, INT((ROW()-2)/(18*3*2)) + 1)</f>
        <v>Bicol Region</v>
      </c>
      <c r="B110" s="2" t="str">
        <f t="array" ref="B110">INDEX(Reference!$C$2:$C$19, MOD(ROW()-2, 18) + 1)</f>
        <v>..Agriculture, forestry, and fishing</v>
      </c>
      <c r="C110" s="1" t="str">
        <f t="shared" si="1"/>
        <v>Main</v>
      </c>
      <c r="D110" s="1">
        <f t="shared" si="2"/>
        <v>2022</v>
      </c>
      <c r="E110" s="1" t="str">
        <f t="shared" si="3"/>
        <v>At Current Prices</v>
      </c>
      <c r="F110" s="3">
        <v>1.00710958E8</v>
      </c>
    </row>
    <row r="111" ht="15.75" customHeight="1">
      <c r="A111" s="1" t="str">
        <f t="array" ref="A111">INDEX(Reference!$A$2:$A$18, INT((ROW()-2)/(18*3*2)) + 1)</f>
        <v>Bicol Region</v>
      </c>
      <c r="B111" s="2" t="str">
        <f t="array" ref="B111">INDEX(Reference!$C$2:$C$19, MOD(ROW()-2, 18) + 1)</f>
        <v>..Industry</v>
      </c>
      <c r="C111" s="1" t="str">
        <f t="shared" si="1"/>
        <v>Main</v>
      </c>
      <c r="D111" s="1">
        <f t="shared" si="2"/>
        <v>2022</v>
      </c>
      <c r="E111" s="1" t="str">
        <f t="shared" si="3"/>
        <v>At Current Prices</v>
      </c>
      <c r="F111" s="3">
        <v>2.22926775E8</v>
      </c>
    </row>
    <row r="112" ht="15.75" customHeight="1">
      <c r="A112" s="1" t="str">
        <f t="array" ref="A112">INDEX(Reference!$A$2:$A$18, INT((ROW()-2)/(18*3*2)) + 1)</f>
        <v>Bicol Region</v>
      </c>
      <c r="B112" s="2" t="str">
        <f t="array" ref="B112">INDEX(Reference!$C$2:$C$19, MOD(ROW()-2, 18) + 1)</f>
        <v>....Mining and quarrying</v>
      </c>
      <c r="C112" s="1" t="str">
        <f t="shared" si="1"/>
        <v>Sub</v>
      </c>
      <c r="D112" s="1">
        <f t="shared" si="2"/>
        <v>2022</v>
      </c>
      <c r="E112" s="1" t="str">
        <f t="shared" si="3"/>
        <v>At Current Prices</v>
      </c>
      <c r="F112" s="3">
        <v>1.3179419E7</v>
      </c>
    </row>
    <row r="113" ht="15.75" customHeight="1">
      <c r="A113" s="1" t="str">
        <f t="array" ref="A113">INDEX(Reference!$A$2:$A$18, INT((ROW()-2)/(18*3*2)) + 1)</f>
        <v>Bicol Region</v>
      </c>
      <c r="B113" s="2" t="str">
        <f t="array" ref="B113">INDEX(Reference!$C$2:$C$19, MOD(ROW()-2, 18) + 1)</f>
        <v>....Manufacturing</v>
      </c>
      <c r="C113" s="1" t="str">
        <f t="shared" si="1"/>
        <v>Sub</v>
      </c>
      <c r="D113" s="1">
        <f t="shared" si="2"/>
        <v>2022</v>
      </c>
      <c r="E113" s="1" t="str">
        <f t="shared" si="3"/>
        <v>At Current Prices</v>
      </c>
      <c r="F113" s="3">
        <v>4.3289696E7</v>
      </c>
    </row>
    <row r="114" ht="15.75" customHeight="1">
      <c r="A114" s="1" t="str">
        <f t="array" ref="A114">INDEX(Reference!$A$2:$A$18, INT((ROW()-2)/(18*3*2)) + 1)</f>
        <v>Bicol Region</v>
      </c>
      <c r="B114" s="2" t="str">
        <f t="array" ref="B114">INDEX(Reference!$C$2:$C$19, MOD(ROW()-2, 18) + 1)</f>
        <v>....Electricity, steam, water and waste management</v>
      </c>
      <c r="C114" s="1" t="str">
        <f t="shared" si="1"/>
        <v>Sub</v>
      </c>
      <c r="D114" s="1">
        <f t="shared" si="2"/>
        <v>2022</v>
      </c>
      <c r="E114" s="1" t="str">
        <f t="shared" si="3"/>
        <v>At Current Prices</v>
      </c>
      <c r="F114" s="3">
        <v>3.8587933E7</v>
      </c>
    </row>
    <row r="115" ht="15.75" customHeight="1">
      <c r="A115" s="1" t="str">
        <f t="array" ref="A115">INDEX(Reference!$A$2:$A$18, INT((ROW()-2)/(18*3*2)) + 1)</f>
        <v>Bicol Region</v>
      </c>
      <c r="B115" s="2" t="str">
        <f t="array" ref="B115">INDEX(Reference!$C$2:$C$19, MOD(ROW()-2, 18) + 1)</f>
        <v>....Construction</v>
      </c>
      <c r="C115" s="1" t="str">
        <f t="shared" si="1"/>
        <v>Sub</v>
      </c>
      <c r="D115" s="1">
        <f t="shared" si="2"/>
        <v>2022</v>
      </c>
      <c r="E115" s="1" t="str">
        <f t="shared" si="3"/>
        <v>At Current Prices</v>
      </c>
      <c r="F115" s="3">
        <v>1.27869728E8</v>
      </c>
    </row>
    <row r="116" ht="15.75" customHeight="1">
      <c r="A116" s="1" t="str">
        <f t="array" ref="A116">INDEX(Reference!$A$2:$A$18, INT((ROW()-2)/(18*3*2)) + 1)</f>
        <v>Bicol Region</v>
      </c>
      <c r="B116" s="2" t="str">
        <f t="array" ref="B116">INDEX(Reference!$C$2:$C$19, MOD(ROW()-2, 18) + 1)</f>
        <v>..Services</v>
      </c>
      <c r="C116" s="1" t="str">
        <f t="shared" si="1"/>
        <v>Main</v>
      </c>
      <c r="D116" s="1">
        <f t="shared" si="2"/>
        <v>2022</v>
      </c>
      <c r="E116" s="1" t="str">
        <f t="shared" si="3"/>
        <v>At Current Prices</v>
      </c>
      <c r="F116" s="3">
        <v>3.22144021E8</v>
      </c>
    </row>
    <row r="117" ht="15.75" customHeight="1">
      <c r="A117" s="1" t="str">
        <f t="array" ref="A117">INDEX(Reference!$A$2:$A$18, INT((ROW()-2)/(18*3*2)) + 1)</f>
        <v>Bicol Region</v>
      </c>
      <c r="B117" s="2" t="str">
        <f t="array" ref="B117">INDEX(Reference!$C$2:$C$19, MOD(ROW()-2, 18) + 1)</f>
        <v>....Wholesale and retail trade; repair of motor vehicles and motorcycles</v>
      </c>
      <c r="C117" s="1" t="str">
        <f t="shared" si="1"/>
        <v>Sub</v>
      </c>
      <c r="D117" s="1">
        <f t="shared" si="2"/>
        <v>2022</v>
      </c>
      <c r="E117" s="1" t="str">
        <f t="shared" si="3"/>
        <v>At Current Prices</v>
      </c>
      <c r="F117" s="3">
        <v>8.1584879E7</v>
      </c>
    </row>
    <row r="118" ht="15.75" customHeight="1">
      <c r="A118" s="1" t="str">
        <f t="array" ref="A118">INDEX(Reference!$A$2:$A$18, INT((ROW()-2)/(18*3*2)) + 1)</f>
        <v>Bicol Region</v>
      </c>
      <c r="B118" s="2" t="str">
        <f t="array" ref="B118">INDEX(Reference!$C$2:$C$19, MOD(ROW()-2, 18) + 1)</f>
        <v>....Transportation and storage</v>
      </c>
      <c r="C118" s="1" t="str">
        <f t="shared" si="1"/>
        <v>Sub</v>
      </c>
      <c r="D118" s="1">
        <f t="shared" si="2"/>
        <v>2022</v>
      </c>
      <c r="E118" s="1" t="str">
        <f t="shared" si="3"/>
        <v>At Current Prices</v>
      </c>
      <c r="F118" s="3">
        <v>3.1727929E7</v>
      </c>
    </row>
    <row r="119" ht="15.75" customHeight="1">
      <c r="A119" s="1" t="str">
        <f t="array" ref="A119">INDEX(Reference!$A$2:$A$18, INT((ROW()-2)/(18*3*2)) + 1)</f>
        <v>Bicol Region</v>
      </c>
      <c r="B119" s="2" t="str">
        <f t="array" ref="B119">INDEX(Reference!$C$2:$C$19, MOD(ROW()-2, 18) + 1)</f>
        <v>....Accommodation and food service activities</v>
      </c>
      <c r="C119" s="1" t="str">
        <f t="shared" si="1"/>
        <v>Sub</v>
      </c>
      <c r="D119" s="1">
        <f t="shared" si="2"/>
        <v>2022</v>
      </c>
      <c r="E119" s="1" t="str">
        <f t="shared" si="3"/>
        <v>At Current Prices</v>
      </c>
      <c r="F119" s="3">
        <v>1.2507439E7</v>
      </c>
    </row>
    <row r="120" ht="15.75" customHeight="1">
      <c r="A120" s="1" t="str">
        <f t="array" ref="A120">INDEX(Reference!$A$2:$A$18, INT((ROW()-2)/(18*3*2)) + 1)</f>
        <v>Bicol Region</v>
      </c>
      <c r="B120" s="2" t="str">
        <f t="array" ref="B120">INDEX(Reference!$C$2:$C$19, MOD(ROW()-2, 18) + 1)</f>
        <v>....Information and communication</v>
      </c>
      <c r="C120" s="1" t="str">
        <f t="shared" si="1"/>
        <v>Sub</v>
      </c>
      <c r="D120" s="1">
        <f t="shared" si="2"/>
        <v>2022</v>
      </c>
      <c r="E120" s="1" t="str">
        <f t="shared" si="3"/>
        <v>At Current Prices</v>
      </c>
      <c r="F120" s="3">
        <v>1.9172912E7</v>
      </c>
    </row>
    <row r="121" ht="15.75" customHeight="1">
      <c r="A121" s="1" t="str">
        <f t="array" ref="A121">INDEX(Reference!$A$2:$A$18, INT((ROW()-2)/(18*3*2)) + 1)</f>
        <v>Bicol Region</v>
      </c>
      <c r="B121" s="2" t="str">
        <f t="array" ref="B121">INDEX(Reference!$C$2:$C$19, MOD(ROW()-2, 18) + 1)</f>
        <v>....Financial and insurance activities</v>
      </c>
      <c r="C121" s="1" t="str">
        <f t="shared" si="1"/>
        <v>Sub</v>
      </c>
      <c r="D121" s="1">
        <f t="shared" si="2"/>
        <v>2022</v>
      </c>
      <c r="E121" s="1" t="str">
        <f t="shared" si="3"/>
        <v>At Current Prices</v>
      </c>
      <c r="F121" s="3">
        <v>4.6460355E7</v>
      </c>
    </row>
    <row r="122" ht="15.75" customHeight="1">
      <c r="A122" s="1" t="str">
        <f t="array" ref="A122">INDEX(Reference!$A$2:$A$18, INT((ROW()-2)/(18*3*2)) + 1)</f>
        <v>Bicol Region</v>
      </c>
      <c r="B122" s="2" t="str">
        <f t="array" ref="B122">INDEX(Reference!$C$2:$C$19, MOD(ROW()-2, 18) + 1)</f>
        <v>....Real estate and ownership of dwellings</v>
      </c>
      <c r="C122" s="1" t="str">
        <f t="shared" si="1"/>
        <v>Sub</v>
      </c>
      <c r="D122" s="1">
        <f t="shared" si="2"/>
        <v>2022</v>
      </c>
      <c r="E122" s="1" t="str">
        <f t="shared" si="3"/>
        <v>At Current Prices</v>
      </c>
      <c r="F122" s="3">
        <v>2.5723316E7</v>
      </c>
    </row>
    <row r="123" ht="15.75" customHeight="1">
      <c r="A123" s="1" t="str">
        <f t="array" ref="A123">INDEX(Reference!$A$2:$A$18, INT((ROW()-2)/(18*3*2)) + 1)</f>
        <v>Bicol Region</v>
      </c>
      <c r="B123" s="2" t="str">
        <f t="array" ref="B123">INDEX(Reference!$C$2:$C$19, MOD(ROW()-2, 18) + 1)</f>
        <v>....Professional and business services</v>
      </c>
      <c r="C123" s="1" t="str">
        <f t="shared" si="1"/>
        <v>Sub</v>
      </c>
      <c r="D123" s="1">
        <f t="shared" si="2"/>
        <v>2022</v>
      </c>
      <c r="E123" s="1" t="str">
        <f t="shared" si="3"/>
        <v>At Current Prices</v>
      </c>
      <c r="F123" s="3">
        <v>1.0241603E7</v>
      </c>
    </row>
    <row r="124" ht="15.75" customHeight="1">
      <c r="A124" s="1" t="str">
        <f t="array" ref="A124">INDEX(Reference!$A$2:$A$18, INT((ROW()-2)/(18*3*2)) + 1)</f>
        <v>Bicol Region</v>
      </c>
      <c r="B124" s="2" t="str">
        <f t="array" ref="B124">INDEX(Reference!$C$2:$C$19, MOD(ROW()-2, 18) + 1)</f>
        <v>....Public administration and defense; compulsory social activities</v>
      </c>
      <c r="C124" s="1" t="str">
        <f t="shared" si="1"/>
        <v>Sub</v>
      </c>
      <c r="D124" s="1">
        <f t="shared" si="2"/>
        <v>2022</v>
      </c>
      <c r="E124" s="1" t="str">
        <f t="shared" si="3"/>
        <v>At Current Prices</v>
      </c>
      <c r="F124" s="3">
        <v>3.0345232E7</v>
      </c>
    </row>
    <row r="125" ht="15.75" customHeight="1">
      <c r="A125" s="1" t="str">
        <f t="array" ref="A125">INDEX(Reference!$A$2:$A$18, INT((ROW()-2)/(18*3*2)) + 1)</f>
        <v>Bicol Region</v>
      </c>
      <c r="B125" s="2" t="str">
        <f t="array" ref="B125">INDEX(Reference!$C$2:$C$19, MOD(ROW()-2, 18) + 1)</f>
        <v>....Education</v>
      </c>
      <c r="C125" s="1" t="str">
        <f t="shared" si="1"/>
        <v>Sub</v>
      </c>
      <c r="D125" s="1">
        <f t="shared" si="2"/>
        <v>2022</v>
      </c>
      <c r="E125" s="1" t="str">
        <f t="shared" si="3"/>
        <v>At Current Prices</v>
      </c>
      <c r="F125" s="3">
        <v>4.1122157E7</v>
      </c>
    </row>
    <row r="126" ht="15.75" customHeight="1">
      <c r="A126" s="1" t="str">
        <f t="array" ref="A126">INDEX(Reference!$A$2:$A$18, INT((ROW()-2)/(18*3*2)) + 1)</f>
        <v>Bicol Region</v>
      </c>
      <c r="B126" s="2" t="str">
        <f t="array" ref="B126">INDEX(Reference!$C$2:$C$19, MOD(ROW()-2, 18) + 1)</f>
        <v>....Human health and social work activities</v>
      </c>
      <c r="C126" s="1" t="str">
        <f t="shared" si="1"/>
        <v>Sub</v>
      </c>
      <c r="D126" s="1">
        <f t="shared" si="2"/>
        <v>2022</v>
      </c>
      <c r="E126" s="1" t="str">
        <f t="shared" si="3"/>
        <v>At Current Prices</v>
      </c>
      <c r="F126" s="3">
        <v>1.5937814E7</v>
      </c>
    </row>
    <row r="127" ht="15.75" customHeight="1">
      <c r="A127" s="1" t="str">
        <f t="array" ref="A127">INDEX(Reference!$A$2:$A$18, INT((ROW()-2)/(18*3*2)) + 1)</f>
        <v>Bicol Region</v>
      </c>
      <c r="B127" s="2" t="str">
        <f t="array" ref="B127">INDEX(Reference!$C$2:$C$19, MOD(ROW()-2, 18) + 1)</f>
        <v>....Other services</v>
      </c>
      <c r="C127" s="1" t="str">
        <f t="shared" si="1"/>
        <v>Sub</v>
      </c>
      <c r="D127" s="1">
        <f t="shared" si="2"/>
        <v>2022</v>
      </c>
      <c r="E127" s="1" t="str">
        <f t="shared" si="3"/>
        <v>At Current Prices</v>
      </c>
      <c r="F127" s="3">
        <v>7320386.0</v>
      </c>
    </row>
    <row r="128" ht="15.75" customHeight="1">
      <c r="A128" s="1" t="str">
        <f t="array" ref="A128">INDEX(Reference!$A$2:$A$18, INT((ROW()-2)/(18*3*2)) + 1)</f>
        <v>Bicol Region</v>
      </c>
      <c r="B128" s="2" t="str">
        <f t="array" ref="B128">INDEX(Reference!$C$2:$C$19, MOD(ROW()-2, 18) + 1)</f>
        <v>..Agriculture, forestry, and fishing</v>
      </c>
      <c r="C128" s="1" t="str">
        <f t="shared" si="1"/>
        <v>Main</v>
      </c>
      <c r="D128" s="1">
        <f t="shared" si="2"/>
        <v>2023</v>
      </c>
      <c r="E128" s="1" t="str">
        <f t="shared" si="3"/>
        <v>At Current Prices</v>
      </c>
      <c r="F128" s="3">
        <v>9.3873669E7</v>
      </c>
    </row>
    <row r="129" ht="15.75" customHeight="1">
      <c r="A129" s="1" t="str">
        <f t="array" ref="A129">INDEX(Reference!$A$2:$A$18, INT((ROW()-2)/(18*3*2)) + 1)</f>
        <v>Bicol Region</v>
      </c>
      <c r="B129" s="2" t="str">
        <f t="array" ref="B129">INDEX(Reference!$C$2:$C$19, MOD(ROW()-2, 18) + 1)</f>
        <v>..Industry</v>
      </c>
      <c r="C129" s="1" t="str">
        <f t="shared" si="1"/>
        <v>Main</v>
      </c>
      <c r="D129" s="1">
        <f t="shared" si="2"/>
        <v>2023</v>
      </c>
      <c r="E129" s="1" t="str">
        <f t="shared" si="3"/>
        <v>At Current Prices</v>
      </c>
      <c r="F129" s="3">
        <v>2.40291439E8</v>
      </c>
    </row>
    <row r="130" ht="15.75" customHeight="1">
      <c r="A130" s="1" t="str">
        <f t="array" ref="A130">INDEX(Reference!$A$2:$A$18, INT((ROW()-2)/(18*3*2)) + 1)</f>
        <v>Bicol Region</v>
      </c>
      <c r="B130" s="2" t="str">
        <f t="array" ref="B130">INDEX(Reference!$C$2:$C$19, MOD(ROW()-2, 18) + 1)</f>
        <v>....Mining and quarrying</v>
      </c>
      <c r="C130" s="1" t="str">
        <f t="shared" si="1"/>
        <v>Sub</v>
      </c>
      <c r="D130" s="1">
        <f t="shared" si="2"/>
        <v>2023</v>
      </c>
      <c r="E130" s="1" t="str">
        <f t="shared" si="3"/>
        <v>At Current Prices</v>
      </c>
      <c r="F130" s="3">
        <v>1.4762743E7</v>
      </c>
    </row>
    <row r="131" ht="15.75" customHeight="1">
      <c r="A131" s="1" t="str">
        <f t="array" ref="A131">INDEX(Reference!$A$2:$A$18, INT((ROW()-2)/(18*3*2)) + 1)</f>
        <v>Bicol Region</v>
      </c>
      <c r="B131" s="2" t="str">
        <f t="array" ref="B131">INDEX(Reference!$C$2:$C$19, MOD(ROW()-2, 18) + 1)</f>
        <v>....Manufacturing</v>
      </c>
      <c r="C131" s="1" t="str">
        <f t="shared" si="1"/>
        <v>Sub</v>
      </c>
      <c r="D131" s="1">
        <f t="shared" si="2"/>
        <v>2023</v>
      </c>
      <c r="E131" s="1" t="str">
        <f t="shared" si="3"/>
        <v>At Current Prices</v>
      </c>
      <c r="F131" s="3">
        <v>4.4241943E7</v>
      </c>
    </row>
    <row r="132" ht="15.75" customHeight="1">
      <c r="A132" s="1" t="str">
        <f t="array" ref="A132">INDEX(Reference!$A$2:$A$18, INT((ROW()-2)/(18*3*2)) + 1)</f>
        <v>Bicol Region</v>
      </c>
      <c r="B132" s="2" t="str">
        <f t="array" ref="B132">INDEX(Reference!$C$2:$C$19, MOD(ROW()-2, 18) + 1)</f>
        <v>....Electricity, steam, water and waste management</v>
      </c>
      <c r="C132" s="1" t="str">
        <f t="shared" si="1"/>
        <v>Sub</v>
      </c>
      <c r="D132" s="1">
        <f t="shared" si="2"/>
        <v>2023</v>
      </c>
      <c r="E132" s="1" t="str">
        <f t="shared" si="3"/>
        <v>At Current Prices</v>
      </c>
      <c r="F132" s="3">
        <v>3.9278055E7</v>
      </c>
    </row>
    <row r="133" ht="15.75" customHeight="1">
      <c r="A133" s="1" t="str">
        <f t="array" ref="A133">INDEX(Reference!$A$2:$A$18, INT((ROW()-2)/(18*3*2)) + 1)</f>
        <v>Bicol Region</v>
      </c>
      <c r="B133" s="2" t="str">
        <f t="array" ref="B133">INDEX(Reference!$C$2:$C$19, MOD(ROW()-2, 18) + 1)</f>
        <v>....Construction</v>
      </c>
      <c r="C133" s="1" t="str">
        <f t="shared" si="1"/>
        <v>Sub</v>
      </c>
      <c r="D133" s="1">
        <f t="shared" si="2"/>
        <v>2023</v>
      </c>
      <c r="E133" s="1" t="str">
        <f t="shared" si="3"/>
        <v>At Current Prices</v>
      </c>
      <c r="F133" s="3">
        <v>1.42008698E8</v>
      </c>
    </row>
    <row r="134" ht="15.75" customHeight="1">
      <c r="A134" s="1" t="str">
        <f t="array" ref="A134">INDEX(Reference!$A$2:$A$18, INT((ROW()-2)/(18*3*2)) + 1)</f>
        <v>Bicol Region</v>
      </c>
      <c r="B134" s="2" t="str">
        <f t="array" ref="B134">INDEX(Reference!$C$2:$C$19, MOD(ROW()-2, 18) + 1)</f>
        <v>..Services</v>
      </c>
      <c r="C134" s="1" t="str">
        <f t="shared" si="1"/>
        <v>Main</v>
      </c>
      <c r="D134" s="1">
        <f t="shared" si="2"/>
        <v>2023</v>
      </c>
      <c r="E134" s="1" t="str">
        <f t="shared" si="3"/>
        <v>At Current Prices</v>
      </c>
      <c r="F134" s="3">
        <v>3.66389059E8</v>
      </c>
    </row>
    <row r="135" ht="15.75" customHeight="1">
      <c r="A135" s="1" t="str">
        <f t="array" ref="A135">INDEX(Reference!$A$2:$A$18, INT((ROW()-2)/(18*3*2)) + 1)</f>
        <v>Bicol Region</v>
      </c>
      <c r="B135" s="2" t="str">
        <f t="array" ref="B135">INDEX(Reference!$C$2:$C$19, MOD(ROW()-2, 18) + 1)</f>
        <v>....Wholesale and retail trade; repair of motor vehicles and motorcycles</v>
      </c>
      <c r="C135" s="1" t="str">
        <f t="shared" si="1"/>
        <v>Sub</v>
      </c>
      <c r="D135" s="1">
        <f t="shared" si="2"/>
        <v>2023</v>
      </c>
      <c r="E135" s="1" t="str">
        <f t="shared" si="3"/>
        <v>At Current Prices</v>
      </c>
      <c r="F135" s="3">
        <v>9.0624442E7</v>
      </c>
    </row>
    <row r="136" ht="15.75" customHeight="1">
      <c r="A136" s="1" t="str">
        <f t="array" ref="A136">INDEX(Reference!$A$2:$A$18, INT((ROW()-2)/(18*3*2)) + 1)</f>
        <v>Bicol Region</v>
      </c>
      <c r="B136" s="2" t="str">
        <f t="array" ref="B136">INDEX(Reference!$C$2:$C$19, MOD(ROW()-2, 18) + 1)</f>
        <v>....Transportation and storage</v>
      </c>
      <c r="C136" s="1" t="str">
        <f t="shared" si="1"/>
        <v>Sub</v>
      </c>
      <c r="D136" s="1">
        <f t="shared" si="2"/>
        <v>2023</v>
      </c>
      <c r="E136" s="1" t="str">
        <f t="shared" si="3"/>
        <v>At Current Prices</v>
      </c>
      <c r="F136" s="3">
        <v>4.0137935E7</v>
      </c>
    </row>
    <row r="137" ht="15.75" customHeight="1">
      <c r="A137" s="1" t="str">
        <f t="array" ref="A137">INDEX(Reference!$A$2:$A$18, INT((ROW()-2)/(18*3*2)) + 1)</f>
        <v>Bicol Region</v>
      </c>
      <c r="B137" s="2" t="str">
        <f t="array" ref="B137">INDEX(Reference!$C$2:$C$19, MOD(ROW()-2, 18) + 1)</f>
        <v>....Accommodation and food service activities</v>
      </c>
      <c r="C137" s="1" t="str">
        <f t="shared" si="1"/>
        <v>Sub</v>
      </c>
      <c r="D137" s="1">
        <f t="shared" si="2"/>
        <v>2023</v>
      </c>
      <c r="E137" s="1" t="str">
        <f t="shared" si="3"/>
        <v>At Current Prices</v>
      </c>
      <c r="F137" s="3">
        <v>1.5544076E7</v>
      </c>
    </row>
    <row r="138" ht="15.75" customHeight="1">
      <c r="A138" s="1" t="str">
        <f t="array" ref="A138">INDEX(Reference!$A$2:$A$18, INT((ROW()-2)/(18*3*2)) + 1)</f>
        <v>Bicol Region</v>
      </c>
      <c r="B138" s="2" t="str">
        <f t="array" ref="B138">INDEX(Reference!$C$2:$C$19, MOD(ROW()-2, 18) + 1)</f>
        <v>....Information and communication</v>
      </c>
      <c r="C138" s="1" t="str">
        <f t="shared" si="1"/>
        <v>Sub</v>
      </c>
      <c r="D138" s="1">
        <f t="shared" si="2"/>
        <v>2023</v>
      </c>
      <c r="E138" s="1" t="str">
        <f t="shared" si="3"/>
        <v>At Current Prices</v>
      </c>
      <c r="F138" s="3">
        <v>2.0068587E7</v>
      </c>
    </row>
    <row r="139" ht="15.75" customHeight="1">
      <c r="A139" s="1" t="str">
        <f t="array" ref="A139">INDEX(Reference!$A$2:$A$18, INT((ROW()-2)/(18*3*2)) + 1)</f>
        <v>Bicol Region</v>
      </c>
      <c r="B139" s="2" t="str">
        <f t="array" ref="B139">INDEX(Reference!$C$2:$C$19, MOD(ROW()-2, 18) + 1)</f>
        <v>....Financial and insurance activities</v>
      </c>
      <c r="C139" s="1" t="str">
        <f t="shared" si="1"/>
        <v>Sub</v>
      </c>
      <c r="D139" s="1">
        <f t="shared" si="2"/>
        <v>2023</v>
      </c>
      <c r="E139" s="1" t="str">
        <f t="shared" si="3"/>
        <v>At Current Prices</v>
      </c>
      <c r="F139" s="3">
        <v>5.3420491E7</v>
      </c>
    </row>
    <row r="140" ht="15.75" customHeight="1">
      <c r="A140" s="1" t="str">
        <f t="array" ref="A140">INDEX(Reference!$A$2:$A$18, INT((ROW()-2)/(18*3*2)) + 1)</f>
        <v>Bicol Region</v>
      </c>
      <c r="B140" s="2" t="str">
        <f t="array" ref="B140">INDEX(Reference!$C$2:$C$19, MOD(ROW()-2, 18) + 1)</f>
        <v>....Real estate and ownership of dwellings</v>
      </c>
      <c r="C140" s="1" t="str">
        <f t="shared" si="1"/>
        <v>Sub</v>
      </c>
      <c r="D140" s="1">
        <f t="shared" si="2"/>
        <v>2023</v>
      </c>
      <c r="E140" s="1" t="str">
        <f t="shared" si="3"/>
        <v>At Current Prices</v>
      </c>
      <c r="F140" s="3">
        <v>2.8617879E7</v>
      </c>
    </row>
    <row r="141" ht="15.75" customHeight="1">
      <c r="A141" s="1" t="str">
        <f t="array" ref="A141">INDEX(Reference!$A$2:$A$18, INT((ROW()-2)/(18*3*2)) + 1)</f>
        <v>Bicol Region</v>
      </c>
      <c r="B141" s="2" t="str">
        <f t="array" ref="B141">INDEX(Reference!$C$2:$C$19, MOD(ROW()-2, 18) + 1)</f>
        <v>....Professional and business services</v>
      </c>
      <c r="C141" s="1" t="str">
        <f t="shared" si="1"/>
        <v>Sub</v>
      </c>
      <c r="D141" s="1">
        <f t="shared" si="2"/>
        <v>2023</v>
      </c>
      <c r="E141" s="1" t="str">
        <f t="shared" si="3"/>
        <v>At Current Prices</v>
      </c>
      <c r="F141" s="3">
        <v>1.136103E7</v>
      </c>
    </row>
    <row r="142" ht="15.75" customHeight="1">
      <c r="A142" s="1" t="str">
        <f t="array" ref="A142">INDEX(Reference!$A$2:$A$18, INT((ROW()-2)/(18*3*2)) + 1)</f>
        <v>Bicol Region</v>
      </c>
      <c r="B142" s="2" t="str">
        <f t="array" ref="B142">INDEX(Reference!$C$2:$C$19, MOD(ROW()-2, 18) + 1)</f>
        <v>....Public administration and defense; compulsory social activities</v>
      </c>
      <c r="C142" s="1" t="str">
        <f t="shared" si="1"/>
        <v>Sub</v>
      </c>
      <c r="D142" s="1">
        <f t="shared" si="2"/>
        <v>2023</v>
      </c>
      <c r="E142" s="1" t="str">
        <f t="shared" si="3"/>
        <v>At Current Prices</v>
      </c>
      <c r="F142" s="3">
        <v>3.5055375E7</v>
      </c>
    </row>
    <row r="143" ht="15.75" customHeight="1">
      <c r="A143" s="1" t="str">
        <f t="array" ref="A143">INDEX(Reference!$A$2:$A$18, INT((ROW()-2)/(18*3*2)) + 1)</f>
        <v>Bicol Region</v>
      </c>
      <c r="B143" s="2" t="str">
        <f t="array" ref="B143">INDEX(Reference!$C$2:$C$19, MOD(ROW()-2, 18) + 1)</f>
        <v>....Education</v>
      </c>
      <c r="C143" s="1" t="str">
        <f t="shared" si="1"/>
        <v>Sub</v>
      </c>
      <c r="D143" s="1">
        <f t="shared" si="2"/>
        <v>2023</v>
      </c>
      <c r="E143" s="1" t="str">
        <f t="shared" si="3"/>
        <v>At Current Prices</v>
      </c>
      <c r="F143" s="3">
        <v>4.4858942E7</v>
      </c>
    </row>
    <row r="144" ht="15.75" customHeight="1">
      <c r="A144" s="1" t="str">
        <f t="array" ref="A144">INDEX(Reference!$A$2:$A$18, INT((ROW()-2)/(18*3*2)) + 1)</f>
        <v>Bicol Region</v>
      </c>
      <c r="B144" s="2" t="str">
        <f t="array" ref="B144">INDEX(Reference!$C$2:$C$19, MOD(ROW()-2, 18) + 1)</f>
        <v>....Human health and social work activities</v>
      </c>
      <c r="C144" s="1" t="str">
        <f t="shared" si="1"/>
        <v>Sub</v>
      </c>
      <c r="D144" s="1">
        <f t="shared" si="2"/>
        <v>2023</v>
      </c>
      <c r="E144" s="1" t="str">
        <f t="shared" si="3"/>
        <v>At Current Prices</v>
      </c>
      <c r="F144" s="3">
        <v>1.7460939E7</v>
      </c>
    </row>
    <row r="145" ht="15.75" customHeight="1">
      <c r="A145" s="1" t="str">
        <f t="array" ref="A145">INDEX(Reference!$A$2:$A$18, INT((ROW()-2)/(18*3*2)) + 1)</f>
        <v>Bicol Region</v>
      </c>
      <c r="B145" s="2" t="str">
        <f t="array" ref="B145">INDEX(Reference!$C$2:$C$19, MOD(ROW()-2, 18) + 1)</f>
        <v>....Other services</v>
      </c>
      <c r="C145" s="1" t="str">
        <f t="shared" si="1"/>
        <v>Sub</v>
      </c>
      <c r="D145" s="1">
        <f t="shared" si="2"/>
        <v>2023</v>
      </c>
      <c r="E145" s="1" t="str">
        <f t="shared" si="3"/>
        <v>At Current Prices</v>
      </c>
      <c r="F145" s="3">
        <v>9239361.0</v>
      </c>
    </row>
    <row r="146" ht="15.75" customHeight="1">
      <c r="A146" s="1" t="str">
        <f t="array" ref="A146">INDEX(Reference!$A$2:$A$18, INT((ROW()-2)/(18*3*2)) + 1)</f>
        <v>Bicol Region</v>
      </c>
      <c r="B146" s="2" t="str">
        <f t="array" ref="B146">INDEX(Reference!$C$2:$C$19, MOD(ROW()-2, 18) + 1)</f>
        <v>..Agriculture, forestry, and fishing</v>
      </c>
      <c r="C146" s="1" t="str">
        <f t="shared" si="1"/>
        <v>Main</v>
      </c>
      <c r="D146" s="1">
        <f t="shared" si="2"/>
        <v>2024</v>
      </c>
      <c r="E146" s="1" t="str">
        <f t="shared" si="3"/>
        <v>At Current Prices</v>
      </c>
      <c r="F146" s="3">
        <v>1.06963033E8</v>
      </c>
    </row>
    <row r="147" ht="15.75" customHeight="1">
      <c r="A147" s="1" t="str">
        <f t="array" ref="A147">INDEX(Reference!$A$2:$A$18, INT((ROW()-2)/(18*3*2)) + 1)</f>
        <v>Bicol Region</v>
      </c>
      <c r="B147" s="2" t="str">
        <f t="array" ref="B147">INDEX(Reference!$C$2:$C$19, MOD(ROW()-2, 18) + 1)</f>
        <v>..Industry</v>
      </c>
      <c r="C147" s="1" t="str">
        <f t="shared" si="1"/>
        <v>Main</v>
      </c>
      <c r="D147" s="1">
        <f t="shared" si="2"/>
        <v>2024</v>
      </c>
      <c r="E147" s="1" t="str">
        <f t="shared" si="3"/>
        <v>At Current Prices</v>
      </c>
      <c r="F147" s="3">
        <v>2.54485894E8</v>
      </c>
    </row>
    <row r="148" ht="15.75" customHeight="1">
      <c r="A148" s="1" t="str">
        <f t="array" ref="A148">INDEX(Reference!$A$2:$A$18, INT((ROW()-2)/(18*3*2)) + 1)</f>
        <v>Bicol Region</v>
      </c>
      <c r="B148" s="2" t="str">
        <f t="array" ref="B148">INDEX(Reference!$C$2:$C$19, MOD(ROW()-2, 18) + 1)</f>
        <v>....Mining and quarrying</v>
      </c>
      <c r="C148" s="1" t="str">
        <f t="shared" si="1"/>
        <v>Sub</v>
      </c>
      <c r="D148" s="1">
        <f t="shared" si="2"/>
        <v>2024</v>
      </c>
      <c r="E148" s="1" t="str">
        <f t="shared" si="3"/>
        <v>At Current Prices</v>
      </c>
      <c r="F148" s="3">
        <v>1.7535805E7</v>
      </c>
    </row>
    <row r="149" ht="15.75" customHeight="1">
      <c r="A149" s="1" t="str">
        <f t="array" ref="A149">INDEX(Reference!$A$2:$A$18, INT((ROW()-2)/(18*3*2)) + 1)</f>
        <v>Bicol Region</v>
      </c>
      <c r="B149" s="2" t="str">
        <f t="array" ref="B149">INDEX(Reference!$C$2:$C$19, MOD(ROW()-2, 18) + 1)</f>
        <v>....Manufacturing</v>
      </c>
      <c r="C149" s="1" t="str">
        <f t="shared" si="1"/>
        <v>Sub</v>
      </c>
      <c r="D149" s="1">
        <f t="shared" si="2"/>
        <v>2024</v>
      </c>
      <c r="E149" s="1" t="str">
        <f t="shared" si="3"/>
        <v>At Current Prices</v>
      </c>
      <c r="F149" s="3">
        <v>4.7460012E7</v>
      </c>
    </row>
    <row r="150" ht="15.75" customHeight="1">
      <c r="A150" s="1" t="str">
        <f t="array" ref="A150">INDEX(Reference!$A$2:$A$18, INT((ROW()-2)/(18*3*2)) + 1)</f>
        <v>Bicol Region</v>
      </c>
      <c r="B150" s="2" t="str">
        <f t="array" ref="B150">INDEX(Reference!$C$2:$C$19, MOD(ROW()-2, 18) + 1)</f>
        <v>....Electricity, steam, water and waste management</v>
      </c>
      <c r="C150" s="1" t="str">
        <f t="shared" si="1"/>
        <v>Sub</v>
      </c>
      <c r="D150" s="1">
        <f t="shared" si="2"/>
        <v>2024</v>
      </c>
      <c r="E150" s="1" t="str">
        <f t="shared" si="3"/>
        <v>At Current Prices</v>
      </c>
      <c r="F150" s="3">
        <v>3.987346E7</v>
      </c>
    </row>
    <row r="151" ht="15.75" customHeight="1">
      <c r="A151" s="1" t="str">
        <f t="array" ref="A151">INDEX(Reference!$A$2:$A$18, INT((ROW()-2)/(18*3*2)) + 1)</f>
        <v>Bicol Region</v>
      </c>
      <c r="B151" s="2" t="str">
        <f t="array" ref="B151">INDEX(Reference!$C$2:$C$19, MOD(ROW()-2, 18) + 1)</f>
        <v>....Construction</v>
      </c>
      <c r="C151" s="1" t="str">
        <f t="shared" si="1"/>
        <v>Sub</v>
      </c>
      <c r="D151" s="1">
        <f t="shared" si="2"/>
        <v>2024</v>
      </c>
      <c r="E151" s="1" t="str">
        <f t="shared" si="3"/>
        <v>At Current Prices</v>
      </c>
      <c r="F151" s="3">
        <v>1.49616617E8</v>
      </c>
    </row>
    <row r="152" ht="15.75" customHeight="1">
      <c r="A152" s="1" t="str">
        <f t="array" ref="A152">INDEX(Reference!$A$2:$A$18, INT((ROW()-2)/(18*3*2)) + 1)</f>
        <v>Bicol Region</v>
      </c>
      <c r="B152" s="2" t="str">
        <f t="array" ref="B152">INDEX(Reference!$C$2:$C$19, MOD(ROW()-2, 18) + 1)</f>
        <v>..Services</v>
      </c>
      <c r="C152" s="1" t="str">
        <f t="shared" si="1"/>
        <v>Main</v>
      </c>
      <c r="D152" s="1">
        <f t="shared" si="2"/>
        <v>2024</v>
      </c>
      <c r="E152" s="1" t="str">
        <f t="shared" si="3"/>
        <v>At Current Prices</v>
      </c>
      <c r="F152" s="3">
        <v>4.08492578E8</v>
      </c>
    </row>
    <row r="153" ht="15.75" customHeight="1">
      <c r="A153" s="1" t="str">
        <f t="array" ref="A153">INDEX(Reference!$A$2:$A$18, INT((ROW()-2)/(18*3*2)) + 1)</f>
        <v>Bicol Region</v>
      </c>
      <c r="B153" s="2" t="str">
        <f t="array" ref="B153">INDEX(Reference!$C$2:$C$19, MOD(ROW()-2, 18) + 1)</f>
        <v>....Wholesale and retail trade; repair of motor vehicles and motorcycles</v>
      </c>
      <c r="C153" s="1" t="str">
        <f t="shared" si="1"/>
        <v>Sub</v>
      </c>
      <c r="D153" s="1">
        <f t="shared" si="2"/>
        <v>2024</v>
      </c>
      <c r="E153" s="1" t="str">
        <f t="shared" si="3"/>
        <v>At Current Prices</v>
      </c>
      <c r="F153" s="3">
        <v>1.03980729E8</v>
      </c>
    </row>
    <row r="154" ht="15.75" customHeight="1">
      <c r="A154" s="1" t="str">
        <f t="array" ref="A154">INDEX(Reference!$A$2:$A$18, INT((ROW()-2)/(18*3*2)) + 1)</f>
        <v>Bicol Region</v>
      </c>
      <c r="B154" s="2" t="str">
        <f t="array" ref="B154">INDEX(Reference!$C$2:$C$19, MOD(ROW()-2, 18) + 1)</f>
        <v>....Transportation and storage</v>
      </c>
      <c r="C154" s="1" t="str">
        <f t="shared" si="1"/>
        <v>Sub</v>
      </c>
      <c r="D154" s="1">
        <f t="shared" si="2"/>
        <v>2024</v>
      </c>
      <c r="E154" s="1" t="str">
        <f t="shared" si="3"/>
        <v>At Current Prices</v>
      </c>
      <c r="F154" s="3">
        <v>4.4793426E7</v>
      </c>
    </row>
    <row r="155" ht="15.75" customHeight="1">
      <c r="A155" s="1" t="str">
        <f t="array" ref="A155">INDEX(Reference!$A$2:$A$18, INT((ROW()-2)/(18*3*2)) + 1)</f>
        <v>Bicol Region</v>
      </c>
      <c r="B155" s="2" t="str">
        <f t="array" ref="B155">INDEX(Reference!$C$2:$C$19, MOD(ROW()-2, 18) + 1)</f>
        <v>....Accommodation and food service activities</v>
      </c>
      <c r="C155" s="1" t="str">
        <f t="shared" si="1"/>
        <v>Sub</v>
      </c>
      <c r="D155" s="1">
        <f t="shared" si="2"/>
        <v>2024</v>
      </c>
      <c r="E155" s="1" t="str">
        <f t="shared" si="3"/>
        <v>At Current Prices</v>
      </c>
      <c r="F155" s="3">
        <v>1.7340995E7</v>
      </c>
    </row>
    <row r="156" ht="15.75" customHeight="1">
      <c r="A156" s="1" t="str">
        <f t="array" ref="A156">INDEX(Reference!$A$2:$A$18, INT((ROW()-2)/(18*3*2)) + 1)</f>
        <v>Bicol Region</v>
      </c>
      <c r="B156" s="2" t="str">
        <f t="array" ref="B156">INDEX(Reference!$C$2:$C$19, MOD(ROW()-2, 18) + 1)</f>
        <v>....Information and communication</v>
      </c>
      <c r="C156" s="1" t="str">
        <f t="shared" si="1"/>
        <v>Sub</v>
      </c>
      <c r="D156" s="1">
        <f t="shared" si="2"/>
        <v>2024</v>
      </c>
      <c r="E156" s="1" t="str">
        <f t="shared" si="3"/>
        <v>At Current Prices</v>
      </c>
      <c r="F156" s="3">
        <v>2.1364773E7</v>
      </c>
    </row>
    <row r="157" ht="15.75" customHeight="1">
      <c r="A157" s="1" t="str">
        <f t="array" ref="A157">INDEX(Reference!$A$2:$A$18, INT((ROW()-2)/(18*3*2)) + 1)</f>
        <v>Bicol Region</v>
      </c>
      <c r="B157" s="2" t="str">
        <f t="array" ref="B157">INDEX(Reference!$C$2:$C$19, MOD(ROW()-2, 18) + 1)</f>
        <v>....Financial and insurance activities</v>
      </c>
      <c r="C157" s="1" t="str">
        <f t="shared" si="1"/>
        <v>Sub</v>
      </c>
      <c r="D157" s="1">
        <f t="shared" si="2"/>
        <v>2024</v>
      </c>
      <c r="E157" s="1" t="str">
        <f t="shared" si="3"/>
        <v>At Current Prices</v>
      </c>
      <c r="F157" s="3">
        <v>6.1681871E7</v>
      </c>
    </row>
    <row r="158" ht="15.75" customHeight="1">
      <c r="A158" s="1" t="str">
        <f t="array" ref="A158">INDEX(Reference!$A$2:$A$18, INT((ROW()-2)/(18*3*2)) + 1)</f>
        <v>Bicol Region</v>
      </c>
      <c r="B158" s="2" t="str">
        <f t="array" ref="B158">INDEX(Reference!$C$2:$C$19, MOD(ROW()-2, 18) + 1)</f>
        <v>....Real estate and ownership of dwellings</v>
      </c>
      <c r="C158" s="1" t="str">
        <f t="shared" si="1"/>
        <v>Sub</v>
      </c>
      <c r="D158" s="1">
        <f t="shared" si="2"/>
        <v>2024</v>
      </c>
      <c r="E158" s="1" t="str">
        <f t="shared" si="3"/>
        <v>At Current Prices</v>
      </c>
      <c r="F158" s="3">
        <v>3.0576325E7</v>
      </c>
    </row>
    <row r="159" ht="15.75" customHeight="1">
      <c r="A159" s="1" t="str">
        <f t="array" ref="A159">INDEX(Reference!$A$2:$A$18, INT((ROW()-2)/(18*3*2)) + 1)</f>
        <v>Bicol Region</v>
      </c>
      <c r="B159" s="2" t="str">
        <f t="array" ref="B159">INDEX(Reference!$C$2:$C$19, MOD(ROW()-2, 18) + 1)</f>
        <v>....Professional and business services</v>
      </c>
      <c r="C159" s="1" t="str">
        <f t="shared" si="1"/>
        <v>Sub</v>
      </c>
      <c r="D159" s="1">
        <f t="shared" si="2"/>
        <v>2024</v>
      </c>
      <c r="E159" s="1" t="str">
        <f t="shared" si="3"/>
        <v>At Current Prices</v>
      </c>
      <c r="F159" s="3">
        <v>1.3191453E7</v>
      </c>
    </row>
    <row r="160" ht="15.75" customHeight="1">
      <c r="A160" s="1" t="str">
        <f t="array" ref="A160">INDEX(Reference!$A$2:$A$18, INT((ROW()-2)/(18*3*2)) + 1)</f>
        <v>Bicol Region</v>
      </c>
      <c r="B160" s="2" t="str">
        <f t="array" ref="B160">INDEX(Reference!$C$2:$C$19, MOD(ROW()-2, 18) + 1)</f>
        <v>....Public administration and defense; compulsory social activities</v>
      </c>
      <c r="C160" s="1" t="str">
        <f t="shared" si="1"/>
        <v>Sub</v>
      </c>
      <c r="D160" s="1">
        <f t="shared" si="2"/>
        <v>2024</v>
      </c>
      <c r="E160" s="1" t="str">
        <f t="shared" si="3"/>
        <v>At Current Prices</v>
      </c>
      <c r="F160" s="3">
        <v>3.7758659E7</v>
      </c>
    </row>
    <row r="161" ht="15.75" customHeight="1">
      <c r="A161" s="1" t="str">
        <f t="array" ref="A161">INDEX(Reference!$A$2:$A$18, INT((ROW()-2)/(18*3*2)) + 1)</f>
        <v>Bicol Region</v>
      </c>
      <c r="B161" s="2" t="str">
        <f t="array" ref="B161">INDEX(Reference!$C$2:$C$19, MOD(ROW()-2, 18) + 1)</f>
        <v>....Education</v>
      </c>
      <c r="C161" s="1" t="str">
        <f t="shared" si="1"/>
        <v>Sub</v>
      </c>
      <c r="D161" s="1">
        <f t="shared" si="2"/>
        <v>2024</v>
      </c>
      <c r="E161" s="1" t="str">
        <f t="shared" si="3"/>
        <v>At Current Prices</v>
      </c>
      <c r="F161" s="3">
        <v>4.7856064E7</v>
      </c>
    </row>
    <row r="162" ht="15.75" customHeight="1">
      <c r="A162" s="1" t="str">
        <f t="array" ref="A162">INDEX(Reference!$A$2:$A$18, INT((ROW()-2)/(18*3*2)) + 1)</f>
        <v>Bicol Region</v>
      </c>
      <c r="B162" s="2" t="str">
        <f t="array" ref="B162">INDEX(Reference!$C$2:$C$19, MOD(ROW()-2, 18) + 1)</f>
        <v>....Human health and social work activities</v>
      </c>
      <c r="C162" s="1" t="str">
        <f t="shared" si="1"/>
        <v>Sub</v>
      </c>
      <c r="D162" s="1">
        <f t="shared" si="2"/>
        <v>2024</v>
      </c>
      <c r="E162" s="1" t="str">
        <f t="shared" si="3"/>
        <v>At Current Prices</v>
      </c>
      <c r="F162" s="3">
        <v>1.9714577E7</v>
      </c>
    </row>
    <row r="163" ht="15.75" customHeight="1">
      <c r="A163" s="1" t="str">
        <f t="array" ref="A163">INDEX(Reference!$A$2:$A$18, INT((ROW()-2)/(18*3*2)) + 1)</f>
        <v>Bicol Region</v>
      </c>
      <c r="B163" s="2" t="str">
        <f t="array" ref="B163">INDEX(Reference!$C$2:$C$19, MOD(ROW()-2, 18) + 1)</f>
        <v>....Other services</v>
      </c>
      <c r="C163" s="1" t="str">
        <f t="shared" si="1"/>
        <v>Sub</v>
      </c>
      <c r="D163" s="1">
        <f t="shared" si="2"/>
        <v>2024</v>
      </c>
      <c r="E163" s="1" t="str">
        <f t="shared" si="3"/>
        <v>At Current Prices</v>
      </c>
      <c r="F163" s="3">
        <v>1.0233707E7</v>
      </c>
    </row>
    <row r="164" ht="15.75" customHeight="1">
      <c r="A164" s="1" t="str">
        <f t="array" ref="A164">INDEX(Reference!$A$2:$A$18, INT((ROW()-2)/(18*3*2)) + 1)</f>
        <v>Bicol Region</v>
      </c>
      <c r="B164" s="2" t="str">
        <f t="array" ref="B164">INDEX(Reference!$C$2:$C$19, MOD(ROW()-2, 18) + 1)</f>
        <v>..Agriculture, forestry, and fishing</v>
      </c>
      <c r="C164" s="1" t="str">
        <f t="shared" si="1"/>
        <v>Main</v>
      </c>
      <c r="D164" s="1">
        <f t="shared" si="2"/>
        <v>2022</v>
      </c>
      <c r="E164" s="1" t="str">
        <f t="shared" si="3"/>
        <v>At Constant 2018 Prices</v>
      </c>
      <c r="F164" s="3">
        <v>9.1940826E7</v>
      </c>
    </row>
    <row r="165" ht="15.75" customHeight="1">
      <c r="A165" s="1" t="str">
        <f t="array" ref="A165">INDEX(Reference!$A$2:$A$18, INT((ROW()-2)/(18*3*2)) + 1)</f>
        <v>Bicol Region</v>
      </c>
      <c r="B165" s="2" t="str">
        <f t="array" ref="B165">INDEX(Reference!$C$2:$C$19, MOD(ROW()-2, 18) + 1)</f>
        <v>..Industry</v>
      </c>
      <c r="C165" s="1" t="str">
        <f t="shared" si="1"/>
        <v>Main</v>
      </c>
      <c r="D165" s="1">
        <f t="shared" si="2"/>
        <v>2022</v>
      </c>
      <c r="E165" s="1" t="str">
        <f t="shared" si="3"/>
        <v>At Constant 2018 Prices</v>
      </c>
      <c r="F165" s="3">
        <v>2.09735413E8</v>
      </c>
    </row>
    <row r="166" ht="15.75" customHeight="1">
      <c r="A166" s="1" t="str">
        <f t="array" ref="A166">INDEX(Reference!$A$2:$A$18, INT((ROW()-2)/(18*3*2)) + 1)</f>
        <v>Bicol Region</v>
      </c>
      <c r="B166" s="2" t="str">
        <f t="array" ref="B166">INDEX(Reference!$C$2:$C$19, MOD(ROW()-2, 18) + 1)</f>
        <v>....Mining and quarrying</v>
      </c>
      <c r="C166" s="1" t="str">
        <f t="shared" si="1"/>
        <v>Sub</v>
      </c>
      <c r="D166" s="1">
        <f t="shared" si="2"/>
        <v>2022</v>
      </c>
      <c r="E166" s="1" t="str">
        <f t="shared" si="3"/>
        <v>At Constant 2018 Prices</v>
      </c>
      <c r="F166" s="3">
        <v>1.0173695E7</v>
      </c>
    </row>
    <row r="167" ht="15.75" customHeight="1">
      <c r="A167" s="1" t="str">
        <f t="array" ref="A167">INDEX(Reference!$A$2:$A$18, INT((ROW()-2)/(18*3*2)) + 1)</f>
        <v>Bicol Region</v>
      </c>
      <c r="B167" s="2" t="str">
        <f t="array" ref="B167">INDEX(Reference!$C$2:$C$19, MOD(ROW()-2, 18) + 1)</f>
        <v>....Manufacturing</v>
      </c>
      <c r="C167" s="1" t="str">
        <f t="shared" si="1"/>
        <v>Sub</v>
      </c>
      <c r="D167" s="1">
        <f t="shared" si="2"/>
        <v>2022</v>
      </c>
      <c r="E167" s="1" t="str">
        <f t="shared" si="3"/>
        <v>At Constant 2018 Prices</v>
      </c>
      <c r="F167" s="3">
        <v>6.1346809E7</v>
      </c>
    </row>
    <row r="168" ht="15.75" customHeight="1">
      <c r="A168" s="1" t="str">
        <f t="array" ref="A168">INDEX(Reference!$A$2:$A$18, INT((ROW()-2)/(18*3*2)) + 1)</f>
        <v>Bicol Region</v>
      </c>
      <c r="B168" s="2" t="str">
        <f t="array" ref="B168">INDEX(Reference!$C$2:$C$19, MOD(ROW()-2, 18) + 1)</f>
        <v>....Electricity, steam, water and waste management</v>
      </c>
      <c r="C168" s="1" t="str">
        <f t="shared" si="1"/>
        <v>Sub</v>
      </c>
      <c r="D168" s="1">
        <f t="shared" si="2"/>
        <v>2022</v>
      </c>
      <c r="E168" s="1" t="str">
        <f t="shared" si="3"/>
        <v>At Constant 2018 Prices</v>
      </c>
      <c r="F168" s="3">
        <v>3.0600295E7</v>
      </c>
    </row>
    <row r="169" ht="15.75" customHeight="1">
      <c r="A169" s="1" t="str">
        <f t="array" ref="A169">INDEX(Reference!$A$2:$A$18, INT((ROW()-2)/(18*3*2)) + 1)</f>
        <v>Bicol Region</v>
      </c>
      <c r="B169" s="2" t="str">
        <f t="array" ref="B169">INDEX(Reference!$C$2:$C$19, MOD(ROW()-2, 18) + 1)</f>
        <v>....Construction</v>
      </c>
      <c r="C169" s="1" t="str">
        <f t="shared" si="1"/>
        <v>Sub</v>
      </c>
      <c r="D169" s="1">
        <f t="shared" si="2"/>
        <v>2022</v>
      </c>
      <c r="E169" s="1" t="str">
        <f t="shared" si="3"/>
        <v>At Constant 2018 Prices</v>
      </c>
      <c r="F169" s="3">
        <v>1.07614614E8</v>
      </c>
    </row>
    <row r="170" ht="15.75" customHeight="1">
      <c r="A170" s="1" t="str">
        <f t="array" ref="A170">INDEX(Reference!$A$2:$A$18, INT((ROW()-2)/(18*3*2)) + 1)</f>
        <v>Bicol Region</v>
      </c>
      <c r="B170" s="2" t="str">
        <f t="array" ref="B170">INDEX(Reference!$C$2:$C$19, MOD(ROW()-2, 18) + 1)</f>
        <v>..Services</v>
      </c>
      <c r="C170" s="1" t="str">
        <f t="shared" si="1"/>
        <v>Main</v>
      </c>
      <c r="D170" s="1">
        <f t="shared" si="2"/>
        <v>2022</v>
      </c>
      <c r="E170" s="1" t="str">
        <f t="shared" si="3"/>
        <v>At Constant 2018 Prices</v>
      </c>
      <c r="F170" s="3">
        <v>2.81927708E8</v>
      </c>
    </row>
    <row r="171" ht="15.75" customHeight="1">
      <c r="A171" s="1" t="str">
        <f t="array" ref="A171">INDEX(Reference!$A$2:$A$18, INT((ROW()-2)/(18*3*2)) + 1)</f>
        <v>Bicol Region</v>
      </c>
      <c r="B171" s="2" t="str">
        <f t="array" ref="B171">INDEX(Reference!$C$2:$C$19, MOD(ROW()-2, 18) + 1)</f>
        <v>....Wholesale and retail trade; repair of motor vehicles and motorcycles</v>
      </c>
      <c r="C171" s="1" t="str">
        <f t="shared" si="1"/>
        <v>Sub</v>
      </c>
      <c r="D171" s="1">
        <f t="shared" si="2"/>
        <v>2022</v>
      </c>
      <c r="E171" s="1" t="str">
        <f t="shared" si="3"/>
        <v>At Constant 2018 Prices</v>
      </c>
      <c r="F171" s="3">
        <v>7.3316139E7</v>
      </c>
    </row>
    <row r="172" ht="15.75" customHeight="1">
      <c r="A172" s="1" t="str">
        <f t="array" ref="A172">INDEX(Reference!$A$2:$A$18, INT((ROW()-2)/(18*3*2)) + 1)</f>
        <v>Bicol Region</v>
      </c>
      <c r="B172" s="2" t="str">
        <f t="array" ref="B172">INDEX(Reference!$C$2:$C$19, MOD(ROW()-2, 18) + 1)</f>
        <v>....Transportation and storage</v>
      </c>
      <c r="C172" s="1" t="str">
        <f t="shared" si="1"/>
        <v>Sub</v>
      </c>
      <c r="D172" s="1">
        <f t="shared" si="2"/>
        <v>2022</v>
      </c>
      <c r="E172" s="1" t="str">
        <f t="shared" si="3"/>
        <v>At Constant 2018 Prices</v>
      </c>
      <c r="F172" s="3">
        <v>1.8529388E7</v>
      </c>
    </row>
    <row r="173" ht="15.75" customHeight="1">
      <c r="A173" s="1" t="str">
        <f t="array" ref="A173">INDEX(Reference!$A$2:$A$18, INT((ROW()-2)/(18*3*2)) + 1)</f>
        <v>Bicol Region</v>
      </c>
      <c r="B173" s="2" t="str">
        <f t="array" ref="B173">INDEX(Reference!$C$2:$C$19, MOD(ROW()-2, 18) + 1)</f>
        <v>....Accommodation and food service activities</v>
      </c>
      <c r="C173" s="1" t="str">
        <f t="shared" si="1"/>
        <v>Sub</v>
      </c>
      <c r="D173" s="1">
        <f t="shared" si="2"/>
        <v>2022</v>
      </c>
      <c r="E173" s="1" t="str">
        <f t="shared" si="3"/>
        <v>At Constant 2018 Prices</v>
      </c>
      <c r="F173" s="3">
        <v>9757390.0</v>
      </c>
    </row>
    <row r="174" ht="15.75" customHeight="1">
      <c r="A174" s="1" t="str">
        <f t="array" ref="A174">INDEX(Reference!$A$2:$A$18, INT((ROW()-2)/(18*3*2)) + 1)</f>
        <v>Bicol Region</v>
      </c>
      <c r="B174" s="2" t="str">
        <f t="array" ref="B174">INDEX(Reference!$C$2:$C$19, MOD(ROW()-2, 18) + 1)</f>
        <v>....Information and communication</v>
      </c>
      <c r="C174" s="1" t="str">
        <f t="shared" si="1"/>
        <v>Sub</v>
      </c>
      <c r="D174" s="1">
        <f t="shared" si="2"/>
        <v>2022</v>
      </c>
      <c r="E174" s="1" t="str">
        <f t="shared" si="3"/>
        <v>At Constant 2018 Prices</v>
      </c>
      <c r="F174" s="3">
        <v>1.8414058E7</v>
      </c>
    </row>
    <row r="175" ht="15.75" customHeight="1">
      <c r="A175" s="1" t="str">
        <f t="array" ref="A175">INDEX(Reference!$A$2:$A$18, INT((ROW()-2)/(18*3*2)) + 1)</f>
        <v>Bicol Region</v>
      </c>
      <c r="B175" s="2" t="str">
        <f t="array" ref="B175">INDEX(Reference!$C$2:$C$19, MOD(ROW()-2, 18) + 1)</f>
        <v>....Financial and insurance activities</v>
      </c>
      <c r="C175" s="1" t="str">
        <f t="shared" si="1"/>
        <v>Sub</v>
      </c>
      <c r="D175" s="1">
        <f t="shared" si="2"/>
        <v>2022</v>
      </c>
      <c r="E175" s="1" t="str">
        <f t="shared" si="3"/>
        <v>At Constant 2018 Prices</v>
      </c>
      <c r="F175" s="3">
        <v>4.0592437E7</v>
      </c>
    </row>
    <row r="176" ht="15.75" customHeight="1">
      <c r="A176" s="1" t="str">
        <f t="array" ref="A176">INDEX(Reference!$A$2:$A$18, INT((ROW()-2)/(18*3*2)) + 1)</f>
        <v>Bicol Region</v>
      </c>
      <c r="B176" s="2" t="str">
        <f t="array" ref="B176">INDEX(Reference!$C$2:$C$19, MOD(ROW()-2, 18) + 1)</f>
        <v>....Real estate and ownership of dwellings</v>
      </c>
      <c r="C176" s="1" t="str">
        <f t="shared" si="1"/>
        <v>Sub</v>
      </c>
      <c r="D176" s="1">
        <f t="shared" si="2"/>
        <v>2022</v>
      </c>
      <c r="E176" s="1" t="str">
        <f t="shared" si="3"/>
        <v>At Constant 2018 Prices</v>
      </c>
      <c r="F176" s="3">
        <v>2.2778173E7</v>
      </c>
    </row>
    <row r="177" ht="15.75" customHeight="1">
      <c r="A177" s="1" t="str">
        <f t="array" ref="A177">INDEX(Reference!$A$2:$A$18, INT((ROW()-2)/(18*3*2)) + 1)</f>
        <v>Bicol Region</v>
      </c>
      <c r="B177" s="2" t="str">
        <f t="array" ref="B177">INDEX(Reference!$C$2:$C$19, MOD(ROW()-2, 18) + 1)</f>
        <v>....Professional and business services</v>
      </c>
      <c r="C177" s="1" t="str">
        <f t="shared" si="1"/>
        <v>Sub</v>
      </c>
      <c r="D177" s="1">
        <f t="shared" si="2"/>
        <v>2022</v>
      </c>
      <c r="E177" s="1" t="str">
        <f t="shared" si="3"/>
        <v>At Constant 2018 Prices</v>
      </c>
      <c r="F177" s="3">
        <v>1.0478265E7</v>
      </c>
    </row>
    <row r="178" ht="15.75" customHeight="1">
      <c r="A178" s="1" t="str">
        <f t="array" ref="A178">INDEX(Reference!$A$2:$A$18, INT((ROW()-2)/(18*3*2)) + 1)</f>
        <v>Bicol Region</v>
      </c>
      <c r="B178" s="2" t="str">
        <f t="array" ref="B178">INDEX(Reference!$C$2:$C$19, MOD(ROW()-2, 18) + 1)</f>
        <v>....Public administration and defense; compulsory social activities</v>
      </c>
      <c r="C178" s="1" t="str">
        <f t="shared" si="1"/>
        <v>Sub</v>
      </c>
      <c r="D178" s="1">
        <f t="shared" si="2"/>
        <v>2022</v>
      </c>
      <c r="E178" s="1" t="str">
        <f t="shared" si="3"/>
        <v>At Constant 2018 Prices</v>
      </c>
      <c r="F178" s="3">
        <v>2.7193044E7</v>
      </c>
    </row>
    <row r="179" ht="15.75" customHeight="1">
      <c r="A179" s="1" t="str">
        <f t="array" ref="A179">INDEX(Reference!$A$2:$A$18, INT((ROW()-2)/(18*3*2)) + 1)</f>
        <v>Bicol Region</v>
      </c>
      <c r="B179" s="2" t="str">
        <f t="array" ref="B179">INDEX(Reference!$C$2:$C$19, MOD(ROW()-2, 18) + 1)</f>
        <v>....Education</v>
      </c>
      <c r="C179" s="1" t="str">
        <f t="shared" si="1"/>
        <v>Sub</v>
      </c>
      <c r="D179" s="1">
        <f t="shared" si="2"/>
        <v>2022</v>
      </c>
      <c r="E179" s="1" t="str">
        <f t="shared" si="3"/>
        <v>At Constant 2018 Prices</v>
      </c>
      <c r="F179" s="3">
        <v>4.0024312E7</v>
      </c>
    </row>
    <row r="180" ht="15.75" customHeight="1">
      <c r="A180" s="1" t="str">
        <f t="array" ref="A180">INDEX(Reference!$A$2:$A$18, INT((ROW()-2)/(18*3*2)) + 1)</f>
        <v>Bicol Region</v>
      </c>
      <c r="B180" s="2" t="str">
        <f t="array" ref="B180">INDEX(Reference!$C$2:$C$19, MOD(ROW()-2, 18) + 1)</f>
        <v>....Human health and social work activities</v>
      </c>
      <c r="C180" s="1" t="str">
        <f t="shared" si="1"/>
        <v>Sub</v>
      </c>
      <c r="D180" s="1">
        <f t="shared" si="2"/>
        <v>2022</v>
      </c>
      <c r="E180" s="1" t="str">
        <f t="shared" si="3"/>
        <v>At Constant 2018 Prices</v>
      </c>
      <c r="F180" s="3">
        <v>1.4408158E7</v>
      </c>
    </row>
    <row r="181" ht="15.75" customHeight="1">
      <c r="A181" s="1" t="str">
        <f t="array" ref="A181">INDEX(Reference!$A$2:$A$18, INT((ROW()-2)/(18*3*2)) + 1)</f>
        <v>Bicol Region</v>
      </c>
      <c r="B181" s="2" t="str">
        <f t="array" ref="B181">INDEX(Reference!$C$2:$C$19, MOD(ROW()-2, 18) + 1)</f>
        <v>....Other services</v>
      </c>
      <c r="C181" s="1" t="str">
        <f t="shared" si="1"/>
        <v>Sub</v>
      </c>
      <c r="D181" s="1">
        <f t="shared" si="2"/>
        <v>2022</v>
      </c>
      <c r="E181" s="1" t="str">
        <f t="shared" si="3"/>
        <v>At Constant 2018 Prices</v>
      </c>
      <c r="F181" s="3">
        <v>6436344.0</v>
      </c>
    </row>
    <row r="182" ht="15.75" customHeight="1">
      <c r="A182" s="1" t="str">
        <f t="array" ref="A182">INDEX(Reference!$A$2:$A$18, INT((ROW()-2)/(18*3*2)) + 1)</f>
        <v>Bicol Region</v>
      </c>
      <c r="B182" s="2" t="str">
        <f t="array" ref="B182">INDEX(Reference!$C$2:$C$19, MOD(ROW()-2, 18) + 1)</f>
        <v>..Agriculture, forestry, and fishing</v>
      </c>
      <c r="C182" s="1" t="str">
        <f t="shared" si="1"/>
        <v>Main</v>
      </c>
      <c r="D182" s="1">
        <f t="shared" si="2"/>
        <v>2023</v>
      </c>
      <c r="E182" s="1" t="str">
        <f t="shared" si="3"/>
        <v>At Constant 2018 Prices</v>
      </c>
      <c r="F182" s="3">
        <v>8.7178822E7</v>
      </c>
    </row>
    <row r="183" ht="15.75" customHeight="1">
      <c r="A183" s="1" t="str">
        <f t="array" ref="A183">INDEX(Reference!$A$2:$A$18, INT((ROW()-2)/(18*3*2)) + 1)</f>
        <v>Bicol Region</v>
      </c>
      <c r="B183" s="2" t="str">
        <f t="array" ref="B183">INDEX(Reference!$C$2:$C$19, MOD(ROW()-2, 18) + 1)</f>
        <v>..Industry</v>
      </c>
      <c r="C183" s="1" t="str">
        <f t="shared" si="1"/>
        <v>Main</v>
      </c>
      <c r="D183" s="1">
        <f t="shared" si="2"/>
        <v>2023</v>
      </c>
      <c r="E183" s="1" t="str">
        <f t="shared" si="3"/>
        <v>At Constant 2018 Prices</v>
      </c>
      <c r="F183" s="3">
        <v>2.190055E8</v>
      </c>
    </row>
    <row r="184" ht="15.75" customHeight="1">
      <c r="A184" s="1" t="str">
        <f t="array" ref="A184">INDEX(Reference!$A$2:$A$18, INT((ROW()-2)/(18*3*2)) + 1)</f>
        <v>Bicol Region</v>
      </c>
      <c r="B184" s="2" t="str">
        <f t="array" ref="B184">INDEX(Reference!$C$2:$C$19, MOD(ROW()-2, 18) + 1)</f>
        <v>....Mining and quarrying</v>
      </c>
      <c r="C184" s="1" t="str">
        <f t="shared" si="1"/>
        <v>Sub</v>
      </c>
      <c r="D184" s="1">
        <f t="shared" si="2"/>
        <v>2023</v>
      </c>
      <c r="E184" s="1" t="str">
        <f t="shared" si="3"/>
        <v>At Constant 2018 Prices</v>
      </c>
      <c r="F184" s="3">
        <v>1.0777032E7</v>
      </c>
    </row>
    <row r="185" ht="15.75" customHeight="1">
      <c r="A185" s="1" t="str">
        <f t="array" ref="A185">INDEX(Reference!$A$2:$A$18, INT((ROW()-2)/(18*3*2)) + 1)</f>
        <v>Bicol Region</v>
      </c>
      <c r="B185" s="2" t="str">
        <f t="array" ref="B185">INDEX(Reference!$C$2:$C$19, MOD(ROW()-2, 18) + 1)</f>
        <v>....Manufacturing</v>
      </c>
      <c r="C185" s="1" t="str">
        <f t="shared" si="1"/>
        <v>Sub</v>
      </c>
      <c r="D185" s="1">
        <f t="shared" si="2"/>
        <v>2023</v>
      </c>
      <c r="E185" s="1" t="str">
        <f t="shared" si="3"/>
        <v>At Constant 2018 Prices</v>
      </c>
      <c r="F185" s="3">
        <v>6.139074E7</v>
      </c>
    </row>
    <row r="186" ht="15.75" customHeight="1">
      <c r="A186" s="1" t="str">
        <f t="array" ref="A186">INDEX(Reference!$A$2:$A$18, INT((ROW()-2)/(18*3*2)) + 1)</f>
        <v>Bicol Region</v>
      </c>
      <c r="B186" s="2" t="str">
        <f t="array" ref="B186">INDEX(Reference!$C$2:$C$19, MOD(ROW()-2, 18) + 1)</f>
        <v>....Electricity, steam, water and waste management</v>
      </c>
      <c r="C186" s="1" t="str">
        <f t="shared" si="1"/>
        <v>Sub</v>
      </c>
      <c r="D186" s="1">
        <f t="shared" si="2"/>
        <v>2023</v>
      </c>
      <c r="E186" s="1" t="str">
        <f t="shared" si="3"/>
        <v>At Constant 2018 Prices</v>
      </c>
      <c r="F186" s="3">
        <v>3.0617559E7</v>
      </c>
    </row>
    <row r="187" ht="15.75" customHeight="1">
      <c r="A187" s="1" t="str">
        <f t="array" ref="A187">INDEX(Reference!$A$2:$A$18, INT((ROW()-2)/(18*3*2)) + 1)</f>
        <v>Bicol Region</v>
      </c>
      <c r="B187" s="2" t="str">
        <f t="array" ref="B187">INDEX(Reference!$C$2:$C$19, MOD(ROW()-2, 18) + 1)</f>
        <v>....Construction</v>
      </c>
      <c r="C187" s="1" t="str">
        <f t="shared" si="1"/>
        <v>Sub</v>
      </c>
      <c r="D187" s="1">
        <f t="shared" si="2"/>
        <v>2023</v>
      </c>
      <c r="E187" s="1" t="str">
        <f t="shared" si="3"/>
        <v>At Constant 2018 Prices</v>
      </c>
      <c r="F187" s="3">
        <v>1.1622017E8</v>
      </c>
    </row>
    <row r="188" ht="15.75" customHeight="1">
      <c r="A188" s="1" t="str">
        <f t="array" ref="A188">INDEX(Reference!$A$2:$A$18, INT((ROW()-2)/(18*3*2)) + 1)</f>
        <v>Bicol Region</v>
      </c>
      <c r="B188" s="2" t="str">
        <f t="array" ref="B188">INDEX(Reference!$C$2:$C$19, MOD(ROW()-2, 18) + 1)</f>
        <v>..Services</v>
      </c>
      <c r="C188" s="1" t="str">
        <f t="shared" si="1"/>
        <v>Main</v>
      </c>
      <c r="D188" s="1">
        <f t="shared" si="2"/>
        <v>2023</v>
      </c>
      <c r="E188" s="1" t="str">
        <f t="shared" si="3"/>
        <v>At Constant 2018 Prices</v>
      </c>
      <c r="F188" s="3">
        <v>3.0386768E8</v>
      </c>
    </row>
    <row r="189" ht="15.75" customHeight="1">
      <c r="A189" s="1" t="str">
        <f t="array" ref="A189">INDEX(Reference!$A$2:$A$18, INT((ROW()-2)/(18*3*2)) + 1)</f>
        <v>Bicol Region</v>
      </c>
      <c r="B189" s="2" t="str">
        <f t="array" ref="B189">INDEX(Reference!$C$2:$C$19, MOD(ROW()-2, 18) + 1)</f>
        <v>....Wholesale and retail trade; repair of motor vehicles and motorcycles</v>
      </c>
      <c r="C189" s="1" t="str">
        <f t="shared" si="1"/>
        <v>Sub</v>
      </c>
      <c r="D189" s="1">
        <f t="shared" si="2"/>
        <v>2023</v>
      </c>
      <c r="E189" s="1" t="str">
        <f t="shared" si="3"/>
        <v>At Constant 2018 Prices</v>
      </c>
      <c r="F189" s="3">
        <v>7.7000446E7</v>
      </c>
    </row>
    <row r="190" ht="15.75" customHeight="1">
      <c r="A190" s="1" t="str">
        <f t="array" ref="A190">INDEX(Reference!$A$2:$A$18, INT((ROW()-2)/(18*3*2)) + 1)</f>
        <v>Bicol Region</v>
      </c>
      <c r="B190" s="2" t="str">
        <f t="array" ref="B190">INDEX(Reference!$C$2:$C$19, MOD(ROW()-2, 18) + 1)</f>
        <v>....Transportation and storage</v>
      </c>
      <c r="C190" s="1" t="str">
        <f t="shared" si="1"/>
        <v>Sub</v>
      </c>
      <c r="D190" s="1">
        <f t="shared" si="2"/>
        <v>2023</v>
      </c>
      <c r="E190" s="1" t="str">
        <f t="shared" si="3"/>
        <v>At Constant 2018 Prices</v>
      </c>
      <c r="F190" s="3">
        <v>2.2425483E7</v>
      </c>
    </row>
    <row r="191" ht="15.75" customHeight="1">
      <c r="A191" s="1" t="str">
        <f t="array" ref="A191">INDEX(Reference!$A$2:$A$18, INT((ROW()-2)/(18*3*2)) + 1)</f>
        <v>Bicol Region</v>
      </c>
      <c r="B191" s="2" t="str">
        <f t="array" ref="B191">INDEX(Reference!$C$2:$C$19, MOD(ROW()-2, 18) + 1)</f>
        <v>....Accommodation and food service activities</v>
      </c>
      <c r="C191" s="1" t="str">
        <f t="shared" si="1"/>
        <v>Sub</v>
      </c>
      <c r="D191" s="1">
        <f t="shared" si="2"/>
        <v>2023</v>
      </c>
      <c r="E191" s="1" t="str">
        <f t="shared" si="3"/>
        <v>At Constant 2018 Prices</v>
      </c>
      <c r="F191" s="3">
        <v>1.1504282E7</v>
      </c>
    </row>
    <row r="192" ht="15.75" customHeight="1">
      <c r="A192" s="1" t="str">
        <f t="array" ref="A192">INDEX(Reference!$A$2:$A$18, INT((ROW()-2)/(18*3*2)) + 1)</f>
        <v>Bicol Region</v>
      </c>
      <c r="B192" s="2" t="str">
        <f t="array" ref="B192">INDEX(Reference!$C$2:$C$19, MOD(ROW()-2, 18) + 1)</f>
        <v>....Information and communication</v>
      </c>
      <c r="C192" s="1" t="str">
        <f t="shared" si="1"/>
        <v>Sub</v>
      </c>
      <c r="D192" s="1">
        <f t="shared" si="2"/>
        <v>2023</v>
      </c>
      <c r="E192" s="1" t="str">
        <f t="shared" si="3"/>
        <v>At Constant 2018 Prices</v>
      </c>
      <c r="F192" s="3">
        <v>1.881741E7</v>
      </c>
    </row>
    <row r="193" ht="15.75" customHeight="1">
      <c r="A193" s="1" t="str">
        <f t="array" ref="A193">INDEX(Reference!$A$2:$A$18, INT((ROW()-2)/(18*3*2)) + 1)</f>
        <v>Bicol Region</v>
      </c>
      <c r="B193" s="2" t="str">
        <f t="array" ref="B193">INDEX(Reference!$C$2:$C$19, MOD(ROW()-2, 18) + 1)</f>
        <v>....Financial and insurance activities</v>
      </c>
      <c r="C193" s="1" t="str">
        <f t="shared" si="1"/>
        <v>Sub</v>
      </c>
      <c r="D193" s="1">
        <f t="shared" si="2"/>
        <v>2023</v>
      </c>
      <c r="E193" s="1" t="str">
        <f t="shared" si="3"/>
        <v>At Constant 2018 Prices</v>
      </c>
      <c r="F193" s="3">
        <v>4.4083727E7</v>
      </c>
    </row>
    <row r="194" ht="15.75" customHeight="1">
      <c r="A194" s="1" t="str">
        <f t="array" ref="A194">INDEX(Reference!$A$2:$A$18, INT((ROW()-2)/(18*3*2)) + 1)</f>
        <v>Bicol Region</v>
      </c>
      <c r="B194" s="2" t="str">
        <f t="array" ref="B194">INDEX(Reference!$C$2:$C$19, MOD(ROW()-2, 18) + 1)</f>
        <v>....Real estate and ownership of dwellings</v>
      </c>
      <c r="C194" s="1" t="str">
        <f t="shared" si="1"/>
        <v>Sub</v>
      </c>
      <c r="D194" s="1">
        <f t="shared" si="2"/>
        <v>2023</v>
      </c>
      <c r="E194" s="1" t="str">
        <f t="shared" si="3"/>
        <v>At Constant 2018 Prices</v>
      </c>
      <c r="F194" s="3">
        <v>2.3524807E7</v>
      </c>
    </row>
    <row r="195" ht="15.75" customHeight="1">
      <c r="A195" s="1" t="str">
        <f t="array" ref="A195">INDEX(Reference!$A$2:$A$18, INT((ROW()-2)/(18*3*2)) + 1)</f>
        <v>Bicol Region</v>
      </c>
      <c r="B195" s="2" t="str">
        <f t="array" ref="B195">INDEX(Reference!$C$2:$C$19, MOD(ROW()-2, 18) + 1)</f>
        <v>....Professional and business services</v>
      </c>
      <c r="C195" s="1" t="str">
        <f t="shared" si="1"/>
        <v>Sub</v>
      </c>
      <c r="D195" s="1">
        <f t="shared" si="2"/>
        <v>2023</v>
      </c>
      <c r="E195" s="1" t="str">
        <f t="shared" si="3"/>
        <v>At Constant 2018 Prices</v>
      </c>
      <c r="F195" s="3">
        <v>1.1323511E7</v>
      </c>
    </row>
    <row r="196" ht="15.75" customHeight="1">
      <c r="A196" s="1" t="str">
        <f t="array" ref="A196">INDEX(Reference!$A$2:$A$18, INT((ROW()-2)/(18*3*2)) + 1)</f>
        <v>Bicol Region</v>
      </c>
      <c r="B196" s="2" t="str">
        <f t="array" ref="B196">INDEX(Reference!$C$2:$C$19, MOD(ROW()-2, 18) + 1)</f>
        <v>....Public administration and defense; compulsory social activities</v>
      </c>
      <c r="C196" s="1" t="str">
        <f t="shared" si="1"/>
        <v>Sub</v>
      </c>
      <c r="D196" s="1">
        <f t="shared" si="2"/>
        <v>2023</v>
      </c>
      <c r="E196" s="1" t="str">
        <f t="shared" si="3"/>
        <v>At Constant 2018 Prices</v>
      </c>
      <c r="F196" s="3">
        <v>3.0221047E7</v>
      </c>
    </row>
    <row r="197" ht="15.75" customHeight="1">
      <c r="A197" s="1" t="str">
        <f t="array" ref="A197">INDEX(Reference!$A$2:$A$18, INT((ROW()-2)/(18*3*2)) + 1)</f>
        <v>Bicol Region</v>
      </c>
      <c r="B197" s="2" t="str">
        <f t="array" ref="B197">INDEX(Reference!$C$2:$C$19, MOD(ROW()-2, 18) + 1)</f>
        <v>....Education</v>
      </c>
      <c r="C197" s="1" t="str">
        <f t="shared" si="1"/>
        <v>Sub</v>
      </c>
      <c r="D197" s="1">
        <f t="shared" si="2"/>
        <v>2023</v>
      </c>
      <c r="E197" s="1" t="str">
        <f t="shared" si="3"/>
        <v>At Constant 2018 Prices</v>
      </c>
      <c r="F197" s="3">
        <v>4.2094437E7</v>
      </c>
    </row>
    <row r="198" ht="15.75" customHeight="1">
      <c r="A198" s="1" t="str">
        <f t="array" ref="A198">INDEX(Reference!$A$2:$A$18, INT((ROW()-2)/(18*3*2)) + 1)</f>
        <v>Bicol Region</v>
      </c>
      <c r="B198" s="2" t="str">
        <f t="array" ref="B198">INDEX(Reference!$C$2:$C$19, MOD(ROW()-2, 18) + 1)</f>
        <v>....Human health and social work activities</v>
      </c>
      <c r="C198" s="1" t="str">
        <f t="shared" si="1"/>
        <v>Sub</v>
      </c>
      <c r="D198" s="1">
        <f t="shared" si="2"/>
        <v>2023</v>
      </c>
      <c r="E198" s="1" t="str">
        <f t="shared" si="3"/>
        <v>At Constant 2018 Prices</v>
      </c>
      <c r="F198" s="3">
        <v>1.5192827E7</v>
      </c>
    </row>
    <row r="199" ht="15.75" customHeight="1">
      <c r="A199" s="1" t="str">
        <f t="array" ref="A199">INDEX(Reference!$A$2:$A$18, INT((ROW()-2)/(18*3*2)) + 1)</f>
        <v>Bicol Region</v>
      </c>
      <c r="B199" s="2" t="str">
        <f t="array" ref="B199">INDEX(Reference!$C$2:$C$19, MOD(ROW()-2, 18) + 1)</f>
        <v>....Other services</v>
      </c>
      <c r="C199" s="1" t="str">
        <f t="shared" si="1"/>
        <v>Sub</v>
      </c>
      <c r="D199" s="1">
        <f t="shared" si="2"/>
        <v>2023</v>
      </c>
      <c r="E199" s="1" t="str">
        <f t="shared" si="3"/>
        <v>At Constant 2018 Prices</v>
      </c>
      <c r="F199" s="3">
        <v>7679704.0</v>
      </c>
    </row>
    <row r="200" ht="15.75" customHeight="1">
      <c r="A200" s="1" t="str">
        <f t="array" ref="A200">INDEX(Reference!$A$2:$A$18, INT((ROW()-2)/(18*3*2)) + 1)</f>
        <v>Bicol Region</v>
      </c>
      <c r="B200" s="2" t="str">
        <f t="array" ref="B200">INDEX(Reference!$C$2:$C$19, MOD(ROW()-2, 18) + 1)</f>
        <v>..Agriculture, forestry, and fishing</v>
      </c>
      <c r="C200" s="1" t="str">
        <f t="shared" si="1"/>
        <v>Main</v>
      </c>
      <c r="D200" s="1">
        <f t="shared" si="2"/>
        <v>2024</v>
      </c>
      <c r="E200" s="1" t="str">
        <f t="shared" si="3"/>
        <v>At Constant 2018 Prices</v>
      </c>
      <c r="F200" s="3">
        <v>8.3416925E7</v>
      </c>
    </row>
    <row r="201" ht="15.75" customHeight="1">
      <c r="A201" s="1" t="str">
        <f t="array" ref="A201">INDEX(Reference!$A$2:$A$18, INT((ROW()-2)/(18*3*2)) + 1)</f>
        <v>Bicol Region</v>
      </c>
      <c r="B201" s="2" t="str">
        <f t="array" ref="B201">INDEX(Reference!$C$2:$C$19, MOD(ROW()-2, 18) + 1)</f>
        <v>..Industry</v>
      </c>
      <c r="C201" s="1" t="str">
        <f t="shared" si="1"/>
        <v>Main</v>
      </c>
      <c r="D201" s="1">
        <f t="shared" si="2"/>
        <v>2024</v>
      </c>
      <c r="E201" s="1" t="str">
        <f t="shared" si="3"/>
        <v>At Constant 2018 Prices</v>
      </c>
      <c r="F201" s="3">
        <v>2.30228587E8</v>
      </c>
    </row>
    <row r="202" ht="15.75" customHeight="1">
      <c r="A202" s="1" t="str">
        <f t="array" ref="A202">INDEX(Reference!$A$2:$A$18, INT((ROW()-2)/(18*3*2)) + 1)</f>
        <v>Bicol Region</v>
      </c>
      <c r="B202" s="2" t="str">
        <f t="array" ref="B202">INDEX(Reference!$C$2:$C$19, MOD(ROW()-2, 18) + 1)</f>
        <v>....Mining and quarrying</v>
      </c>
      <c r="C202" s="1" t="str">
        <f t="shared" si="1"/>
        <v>Sub</v>
      </c>
      <c r="D202" s="1">
        <f t="shared" si="2"/>
        <v>2024</v>
      </c>
      <c r="E202" s="1" t="str">
        <f t="shared" si="3"/>
        <v>At Constant 2018 Prices</v>
      </c>
      <c r="F202" s="3">
        <v>1.1397958E7</v>
      </c>
    </row>
    <row r="203" ht="15.75" customHeight="1">
      <c r="A203" s="1" t="str">
        <f t="array" ref="A203">INDEX(Reference!$A$2:$A$18, INT((ROW()-2)/(18*3*2)) + 1)</f>
        <v>Bicol Region</v>
      </c>
      <c r="B203" s="2" t="str">
        <f t="array" ref="B203">INDEX(Reference!$C$2:$C$19, MOD(ROW()-2, 18) + 1)</f>
        <v>....Manufacturing</v>
      </c>
      <c r="C203" s="1" t="str">
        <f t="shared" si="1"/>
        <v>Sub</v>
      </c>
      <c r="D203" s="1">
        <f t="shared" si="2"/>
        <v>2024</v>
      </c>
      <c r="E203" s="1" t="str">
        <f t="shared" si="3"/>
        <v>At Constant 2018 Prices</v>
      </c>
      <c r="F203" s="3">
        <v>6.5415206E7</v>
      </c>
    </row>
    <row r="204" ht="15.75" customHeight="1">
      <c r="A204" s="1" t="str">
        <f t="array" ref="A204">INDEX(Reference!$A$2:$A$18, INT((ROW()-2)/(18*3*2)) + 1)</f>
        <v>Bicol Region</v>
      </c>
      <c r="B204" s="2" t="str">
        <f t="array" ref="B204">INDEX(Reference!$C$2:$C$19, MOD(ROW()-2, 18) + 1)</f>
        <v>....Electricity, steam, water and waste management</v>
      </c>
      <c r="C204" s="1" t="str">
        <f t="shared" si="1"/>
        <v>Sub</v>
      </c>
      <c r="D204" s="1">
        <f t="shared" si="2"/>
        <v>2024</v>
      </c>
      <c r="E204" s="1" t="str">
        <f t="shared" si="3"/>
        <v>At Constant 2018 Prices</v>
      </c>
      <c r="F204" s="3">
        <v>3.2208457E7</v>
      </c>
    </row>
    <row r="205" ht="15.75" customHeight="1">
      <c r="A205" s="1" t="str">
        <f t="array" ref="A205">INDEX(Reference!$A$2:$A$18, INT((ROW()-2)/(18*3*2)) + 1)</f>
        <v>Bicol Region</v>
      </c>
      <c r="B205" s="2" t="str">
        <f t="array" ref="B205">INDEX(Reference!$C$2:$C$19, MOD(ROW()-2, 18) + 1)</f>
        <v>....Construction</v>
      </c>
      <c r="C205" s="1" t="str">
        <f t="shared" si="1"/>
        <v>Sub</v>
      </c>
      <c r="D205" s="1">
        <f t="shared" si="2"/>
        <v>2024</v>
      </c>
      <c r="E205" s="1" t="str">
        <f t="shared" si="3"/>
        <v>At Constant 2018 Prices</v>
      </c>
      <c r="F205" s="3">
        <v>1.21206966E8</v>
      </c>
    </row>
    <row r="206" ht="15.75" customHeight="1">
      <c r="A206" s="1" t="str">
        <f t="array" ref="A206">INDEX(Reference!$A$2:$A$18, INT((ROW()-2)/(18*3*2)) + 1)</f>
        <v>Bicol Region</v>
      </c>
      <c r="B206" s="2" t="str">
        <f t="array" ref="B206">INDEX(Reference!$C$2:$C$19, MOD(ROW()-2, 18) + 1)</f>
        <v>..Services</v>
      </c>
      <c r="C206" s="1" t="str">
        <f t="shared" si="1"/>
        <v>Main</v>
      </c>
      <c r="D206" s="1">
        <f t="shared" si="2"/>
        <v>2024</v>
      </c>
      <c r="E206" s="1" t="str">
        <f t="shared" si="3"/>
        <v>At Constant 2018 Prices</v>
      </c>
      <c r="F206" s="3">
        <v>3.26426991E8</v>
      </c>
    </row>
    <row r="207" ht="15.75" customHeight="1">
      <c r="A207" s="1" t="str">
        <f t="array" ref="A207">INDEX(Reference!$A$2:$A$18, INT((ROW()-2)/(18*3*2)) + 1)</f>
        <v>Bicol Region</v>
      </c>
      <c r="B207" s="2" t="str">
        <f t="array" ref="B207">INDEX(Reference!$C$2:$C$19, MOD(ROW()-2, 18) + 1)</f>
        <v>....Wholesale and retail trade; repair of motor vehicles and motorcycles</v>
      </c>
      <c r="C207" s="1" t="str">
        <f t="shared" si="1"/>
        <v>Sub</v>
      </c>
      <c r="D207" s="1">
        <f t="shared" si="2"/>
        <v>2024</v>
      </c>
      <c r="E207" s="1" t="str">
        <f t="shared" si="3"/>
        <v>At Constant 2018 Prices</v>
      </c>
      <c r="F207" s="3">
        <v>8.4161098E7</v>
      </c>
    </row>
    <row r="208" ht="15.75" customHeight="1">
      <c r="A208" s="1" t="str">
        <f t="array" ref="A208">INDEX(Reference!$A$2:$A$18, INT((ROW()-2)/(18*3*2)) + 1)</f>
        <v>Bicol Region</v>
      </c>
      <c r="B208" s="2" t="str">
        <f t="array" ref="B208">INDEX(Reference!$C$2:$C$19, MOD(ROW()-2, 18) + 1)</f>
        <v>....Transportation and storage</v>
      </c>
      <c r="C208" s="1" t="str">
        <f t="shared" si="1"/>
        <v>Sub</v>
      </c>
      <c r="D208" s="1">
        <f t="shared" si="2"/>
        <v>2024</v>
      </c>
      <c r="E208" s="1" t="str">
        <f t="shared" si="3"/>
        <v>At Constant 2018 Prices</v>
      </c>
      <c r="F208" s="3">
        <v>2.457385E7</v>
      </c>
    </row>
    <row r="209" ht="15.75" customHeight="1">
      <c r="A209" s="1" t="str">
        <f t="array" ref="A209">INDEX(Reference!$A$2:$A$18, INT((ROW()-2)/(18*3*2)) + 1)</f>
        <v>Bicol Region</v>
      </c>
      <c r="B209" s="2" t="str">
        <f t="array" ref="B209">INDEX(Reference!$C$2:$C$19, MOD(ROW()-2, 18) + 1)</f>
        <v>....Accommodation and food service activities</v>
      </c>
      <c r="C209" s="1" t="str">
        <f t="shared" si="1"/>
        <v>Sub</v>
      </c>
      <c r="D209" s="1">
        <f t="shared" si="2"/>
        <v>2024</v>
      </c>
      <c r="E209" s="1" t="str">
        <f t="shared" si="3"/>
        <v>At Constant 2018 Prices</v>
      </c>
      <c r="F209" s="3">
        <v>1.2452276E7</v>
      </c>
    </row>
    <row r="210" ht="15.75" customHeight="1">
      <c r="A210" s="1" t="str">
        <f t="array" ref="A210">INDEX(Reference!$A$2:$A$18, INT((ROW()-2)/(18*3*2)) + 1)</f>
        <v>Bicol Region</v>
      </c>
      <c r="B210" s="2" t="str">
        <f t="array" ref="B210">INDEX(Reference!$C$2:$C$19, MOD(ROW()-2, 18) + 1)</f>
        <v>....Information and communication</v>
      </c>
      <c r="C210" s="1" t="str">
        <f t="shared" si="1"/>
        <v>Sub</v>
      </c>
      <c r="D210" s="1">
        <f t="shared" si="2"/>
        <v>2024</v>
      </c>
      <c r="E210" s="1" t="str">
        <f t="shared" si="3"/>
        <v>At Constant 2018 Prices</v>
      </c>
      <c r="F210" s="3">
        <v>1.9552194E7</v>
      </c>
    </row>
    <row r="211" ht="15.75" customHeight="1">
      <c r="A211" s="1" t="str">
        <f t="array" ref="A211">INDEX(Reference!$A$2:$A$18, INT((ROW()-2)/(18*3*2)) + 1)</f>
        <v>Bicol Region</v>
      </c>
      <c r="B211" s="2" t="str">
        <f t="array" ref="B211">INDEX(Reference!$C$2:$C$19, MOD(ROW()-2, 18) + 1)</f>
        <v>....Financial and insurance activities</v>
      </c>
      <c r="C211" s="1" t="str">
        <f t="shared" si="1"/>
        <v>Sub</v>
      </c>
      <c r="D211" s="1">
        <f t="shared" si="2"/>
        <v>2024</v>
      </c>
      <c r="E211" s="1" t="str">
        <f t="shared" si="3"/>
        <v>At Constant 2018 Prices</v>
      </c>
      <c r="F211" s="3">
        <v>4.8978593E7</v>
      </c>
    </row>
    <row r="212" ht="15.75" customHeight="1">
      <c r="A212" s="1" t="str">
        <f t="array" ref="A212">INDEX(Reference!$A$2:$A$18, INT((ROW()-2)/(18*3*2)) + 1)</f>
        <v>Bicol Region</v>
      </c>
      <c r="B212" s="2" t="str">
        <f t="array" ref="B212">INDEX(Reference!$C$2:$C$19, MOD(ROW()-2, 18) + 1)</f>
        <v>....Real estate and ownership of dwellings</v>
      </c>
      <c r="C212" s="1" t="str">
        <f t="shared" si="1"/>
        <v>Sub</v>
      </c>
      <c r="D212" s="1">
        <f t="shared" si="2"/>
        <v>2024</v>
      </c>
      <c r="E212" s="1" t="str">
        <f t="shared" si="3"/>
        <v>At Constant 2018 Prices</v>
      </c>
      <c r="F212" s="3">
        <v>2.4592578E7</v>
      </c>
    </row>
    <row r="213" ht="15.75" customHeight="1">
      <c r="A213" s="1" t="str">
        <f t="array" ref="A213">INDEX(Reference!$A$2:$A$18, INT((ROW()-2)/(18*3*2)) + 1)</f>
        <v>Bicol Region</v>
      </c>
      <c r="B213" s="2" t="str">
        <f t="array" ref="B213">INDEX(Reference!$C$2:$C$19, MOD(ROW()-2, 18) + 1)</f>
        <v>....Professional and business services</v>
      </c>
      <c r="C213" s="1" t="str">
        <f t="shared" si="1"/>
        <v>Sub</v>
      </c>
      <c r="D213" s="1">
        <f t="shared" si="2"/>
        <v>2024</v>
      </c>
      <c r="E213" s="1" t="str">
        <f t="shared" si="3"/>
        <v>At Constant 2018 Prices</v>
      </c>
      <c r="F213" s="3">
        <v>1.2496914E7</v>
      </c>
    </row>
    <row r="214" ht="15.75" customHeight="1">
      <c r="A214" s="1" t="str">
        <f t="array" ref="A214">INDEX(Reference!$A$2:$A$18, INT((ROW()-2)/(18*3*2)) + 1)</f>
        <v>Bicol Region</v>
      </c>
      <c r="B214" s="2" t="str">
        <f t="array" ref="B214">INDEX(Reference!$C$2:$C$19, MOD(ROW()-2, 18) + 1)</f>
        <v>....Public administration and defense; compulsory social activities</v>
      </c>
      <c r="C214" s="1" t="str">
        <f t="shared" si="1"/>
        <v>Sub</v>
      </c>
      <c r="D214" s="1">
        <f t="shared" si="2"/>
        <v>2024</v>
      </c>
      <c r="E214" s="1" t="str">
        <f t="shared" si="3"/>
        <v>At Constant 2018 Prices</v>
      </c>
      <c r="F214" s="3">
        <v>3.1528402E7</v>
      </c>
    </row>
    <row r="215" ht="15.75" customHeight="1">
      <c r="A215" s="1" t="str">
        <f t="array" ref="A215">INDEX(Reference!$A$2:$A$18, INT((ROW()-2)/(18*3*2)) + 1)</f>
        <v>Bicol Region</v>
      </c>
      <c r="B215" s="2" t="str">
        <f t="array" ref="B215">INDEX(Reference!$C$2:$C$19, MOD(ROW()-2, 18) + 1)</f>
        <v>....Education</v>
      </c>
      <c r="C215" s="1" t="str">
        <f t="shared" si="1"/>
        <v>Sub</v>
      </c>
      <c r="D215" s="1">
        <f t="shared" si="2"/>
        <v>2024</v>
      </c>
      <c r="E215" s="1" t="str">
        <f t="shared" si="3"/>
        <v>At Constant 2018 Prices</v>
      </c>
      <c r="F215" s="3">
        <v>4.3330759E7</v>
      </c>
    </row>
    <row r="216" ht="15.75" customHeight="1">
      <c r="A216" s="1" t="str">
        <f t="array" ref="A216">INDEX(Reference!$A$2:$A$18, INT((ROW()-2)/(18*3*2)) + 1)</f>
        <v>Bicol Region</v>
      </c>
      <c r="B216" s="2" t="str">
        <f t="array" ref="B216">INDEX(Reference!$C$2:$C$19, MOD(ROW()-2, 18) + 1)</f>
        <v>....Human health and social work activities</v>
      </c>
      <c r="C216" s="1" t="str">
        <f t="shared" si="1"/>
        <v>Sub</v>
      </c>
      <c r="D216" s="1">
        <f t="shared" si="2"/>
        <v>2024</v>
      </c>
      <c r="E216" s="1" t="str">
        <f t="shared" si="3"/>
        <v>At Constant 2018 Prices</v>
      </c>
      <c r="F216" s="3">
        <v>1.6624096E7</v>
      </c>
    </row>
    <row r="217" ht="15.75" customHeight="1">
      <c r="A217" s="1" t="str">
        <f t="array" ref="A217">INDEX(Reference!$A$2:$A$18, INT((ROW()-2)/(18*3*2)) + 1)</f>
        <v>Bicol Region</v>
      </c>
      <c r="B217" s="2" t="str">
        <f t="array" ref="B217">INDEX(Reference!$C$2:$C$19, MOD(ROW()-2, 18) + 1)</f>
        <v>....Other services</v>
      </c>
      <c r="C217" s="1" t="str">
        <f t="shared" si="1"/>
        <v>Sub</v>
      </c>
      <c r="D217" s="1">
        <f t="shared" si="2"/>
        <v>2024</v>
      </c>
      <c r="E217" s="1" t="str">
        <f t="shared" si="3"/>
        <v>At Constant 2018 Prices</v>
      </c>
      <c r="F217" s="3">
        <v>8136231.0</v>
      </c>
    </row>
    <row r="218" ht="15.75" customHeight="1">
      <c r="A218" s="1" t="str">
        <f t="array" ref="A218">INDEX(Reference!$A$2:$A$18, INT((ROW()-2)/(18*3*2)) + 1)</f>
        <v>Cagayan Valley</v>
      </c>
      <c r="B218" s="2" t="str">
        <f t="array" ref="B218">INDEX(Reference!$C$2:$C$19, MOD(ROW()-2, 18) + 1)</f>
        <v>..Agriculture, forestry, and fishing</v>
      </c>
      <c r="C218" s="1" t="str">
        <f t="shared" si="1"/>
        <v>Main</v>
      </c>
      <c r="D218" s="1">
        <f t="shared" si="2"/>
        <v>2022</v>
      </c>
      <c r="E218" s="1" t="str">
        <f t="shared" si="3"/>
        <v>At Current Prices</v>
      </c>
      <c r="F218" s="3">
        <v>1.20600439E8</v>
      </c>
    </row>
    <row r="219" ht="15.75" customHeight="1">
      <c r="A219" s="1" t="str">
        <f t="array" ref="A219">INDEX(Reference!$A$2:$A$18, INT((ROW()-2)/(18*3*2)) + 1)</f>
        <v>Cagayan Valley</v>
      </c>
      <c r="B219" s="2" t="str">
        <f t="array" ref="B219">INDEX(Reference!$C$2:$C$19, MOD(ROW()-2, 18) + 1)</f>
        <v>..Industry</v>
      </c>
      <c r="C219" s="1" t="str">
        <f t="shared" si="1"/>
        <v>Main</v>
      </c>
      <c r="D219" s="1">
        <f t="shared" si="2"/>
        <v>2022</v>
      </c>
      <c r="E219" s="1" t="str">
        <f t="shared" si="3"/>
        <v>At Current Prices</v>
      </c>
      <c r="F219" s="3">
        <v>1.28691563E8</v>
      </c>
    </row>
    <row r="220" ht="15.75" customHeight="1">
      <c r="A220" s="1" t="str">
        <f t="array" ref="A220">INDEX(Reference!$A$2:$A$18, INT((ROW()-2)/(18*3*2)) + 1)</f>
        <v>Cagayan Valley</v>
      </c>
      <c r="B220" s="2" t="str">
        <f t="array" ref="B220">INDEX(Reference!$C$2:$C$19, MOD(ROW()-2, 18) + 1)</f>
        <v>....Mining and quarrying</v>
      </c>
      <c r="C220" s="1" t="str">
        <f t="shared" si="1"/>
        <v>Sub</v>
      </c>
      <c r="D220" s="1">
        <f t="shared" si="2"/>
        <v>2022</v>
      </c>
      <c r="E220" s="1" t="str">
        <f t="shared" si="3"/>
        <v>At Current Prices</v>
      </c>
      <c r="F220" s="3">
        <v>1.676562E7</v>
      </c>
    </row>
    <row r="221" ht="15.75" customHeight="1">
      <c r="A221" s="1" t="str">
        <f t="array" ref="A221">INDEX(Reference!$A$2:$A$18, INT((ROW()-2)/(18*3*2)) + 1)</f>
        <v>Cagayan Valley</v>
      </c>
      <c r="B221" s="2" t="str">
        <f t="array" ref="B221">INDEX(Reference!$C$2:$C$19, MOD(ROW()-2, 18) + 1)</f>
        <v>....Manufacturing</v>
      </c>
      <c r="C221" s="1" t="str">
        <f t="shared" si="1"/>
        <v>Sub</v>
      </c>
      <c r="D221" s="1">
        <f t="shared" si="2"/>
        <v>2022</v>
      </c>
      <c r="E221" s="1" t="str">
        <f t="shared" si="3"/>
        <v>At Current Prices</v>
      </c>
      <c r="F221" s="3">
        <v>3.6532048E7</v>
      </c>
    </row>
    <row r="222" ht="15.75" customHeight="1">
      <c r="A222" s="1" t="str">
        <f t="array" ref="A222">INDEX(Reference!$A$2:$A$18, INT((ROW()-2)/(18*3*2)) + 1)</f>
        <v>Cagayan Valley</v>
      </c>
      <c r="B222" s="2" t="str">
        <f t="array" ref="B222">INDEX(Reference!$C$2:$C$19, MOD(ROW()-2, 18) + 1)</f>
        <v>....Electricity, steam, water and waste management</v>
      </c>
      <c r="C222" s="1" t="str">
        <f t="shared" si="1"/>
        <v>Sub</v>
      </c>
      <c r="D222" s="1">
        <f t="shared" si="2"/>
        <v>2022</v>
      </c>
      <c r="E222" s="1" t="str">
        <f t="shared" si="3"/>
        <v>At Current Prices</v>
      </c>
      <c r="F222" s="3">
        <v>1.5295338E7</v>
      </c>
    </row>
    <row r="223" ht="15.75" customHeight="1">
      <c r="A223" s="1" t="str">
        <f t="array" ref="A223">INDEX(Reference!$A$2:$A$18, INT((ROW()-2)/(18*3*2)) + 1)</f>
        <v>Cagayan Valley</v>
      </c>
      <c r="B223" s="2" t="str">
        <f t="array" ref="B223">INDEX(Reference!$C$2:$C$19, MOD(ROW()-2, 18) + 1)</f>
        <v>....Construction</v>
      </c>
      <c r="C223" s="1" t="str">
        <f t="shared" si="1"/>
        <v>Sub</v>
      </c>
      <c r="D223" s="1">
        <f t="shared" si="2"/>
        <v>2022</v>
      </c>
      <c r="E223" s="1" t="str">
        <f t="shared" si="3"/>
        <v>At Current Prices</v>
      </c>
      <c r="F223" s="3">
        <v>6.0098558E7</v>
      </c>
    </row>
    <row r="224" ht="15.75" customHeight="1">
      <c r="A224" s="1" t="str">
        <f t="array" ref="A224">INDEX(Reference!$A$2:$A$18, INT((ROW()-2)/(18*3*2)) + 1)</f>
        <v>Cagayan Valley</v>
      </c>
      <c r="B224" s="2" t="str">
        <f t="array" ref="B224">INDEX(Reference!$C$2:$C$19, MOD(ROW()-2, 18) + 1)</f>
        <v>..Services</v>
      </c>
      <c r="C224" s="1" t="str">
        <f t="shared" si="1"/>
        <v>Main</v>
      </c>
      <c r="D224" s="1">
        <f t="shared" si="2"/>
        <v>2022</v>
      </c>
      <c r="E224" s="1" t="str">
        <f t="shared" si="3"/>
        <v>At Current Prices</v>
      </c>
      <c r="F224" s="3">
        <v>2.06384926E8</v>
      </c>
    </row>
    <row r="225" ht="15.75" customHeight="1">
      <c r="A225" s="1" t="str">
        <f t="array" ref="A225">INDEX(Reference!$A$2:$A$18, INT((ROW()-2)/(18*3*2)) + 1)</f>
        <v>Cagayan Valley</v>
      </c>
      <c r="B225" s="2" t="str">
        <f t="array" ref="B225">INDEX(Reference!$C$2:$C$19, MOD(ROW()-2, 18) + 1)</f>
        <v>....Wholesale and retail trade; repair of motor vehicles and motorcycles</v>
      </c>
      <c r="C225" s="1" t="str">
        <f t="shared" si="1"/>
        <v>Sub</v>
      </c>
      <c r="D225" s="1">
        <f t="shared" si="2"/>
        <v>2022</v>
      </c>
      <c r="E225" s="1" t="str">
        <f t="shared" si="3"/>
        <v>At Current Prices</v>
      </c>
      <c r="F225" s="3">
        <v>6.2020221E7</v>
      </c>
    </row>
    <row r="226" ht="15.75" customHeight="1">
      <c r="A226" s="1" t="str">
        <f t="array" ref="A226">INDEX(Reference!$A$2:$A$18, INT((ROW()-2)/(18*3*2)) + 1)</f>
        <v>Cagayan Valley</v>
      </c>
      <c r="B226" s="2" t="str">
        <f t="array" ref="B226">INDEX(Reference!$C$2:$C$19, MOD(ROW()-2, 18) + 1)</f>
        <v>....Transportation and storage</v>
      </c>
      <c r="C226" s="1" t="str">
        <f t="shared" si="1"/>
        <v>Sub</v>
      </c>
      <c r="D226" s="1">
        <f t="shared" si="2"/>
        <v>2022</v>
      </c>
      <c r="E226" s="1" t="str">
        <f t="shared" si="3"/>
        <v>At Current Prices</v>
      </c>
      <c r="F226" s="3">
        <v>2.2264438E7</v>
      </c>
    </row>
    <row r="227" ht="15.75" customHeight="1">
      <c r="A227" s="1" t="str">
        <f t="array" ref="A227">INDEX(Reference!$A$2:$A$18, INT((ROW()-2)/(18*3*2)) + 1)</f>
        <v>Cagayan Valley</v>
      </c>
      <c r="B227" s="2" t="str">
        <f t="array" ref="B227">INDEX(Reference!$C$2:$C$19, MOD(ROW()-2, 18) + 1)</f>
        <v>....Accommodation and food service activities</v>
      </c>
      <c r="C227" s="1" t="str">
        <f t="shared" si="1"/>
        <v>Sub</v>
      </c>
      <c r="D227" s="1">
        <f t="shared" si="2"/>
        <v>2022</v>
      </c>
      <c r="E227" s="1" t="str">
        <f t="shared" si="3"/>
        <v>At Current Prices</v>
      </c>
      <c r="F227" s="3">
        <v>7148233.0</v>
      </c>
    </row>
    <row r="228" ht="15.75" customHeight="1">
      <c r="A228" s="1" t="str">
        <f t="array" ref="A228">INDEX(Reference!$A$2:$A$18, INT((ROW()-2)/(18*3*2)) + 1)</f>
        <v>Cagayan Valley</v>
      </c>
      <c r="B228" s="2" t="str">
        <f t="array" ref="B228">INDEX(Reference!$C$2:$C$19, MOD(ROW()-2, 18) + 1)</f>
        <v>....Information and communication</v>
      </c>
      <c r="C228" s="1" t="str">
        <f t="shared" si="1"/>
        <v>Sub</v>
      </c>
      <c r="D228" s="1">
        <f t="shared" si="2"/>
        <v>2022</v>
      </c>
      <c r="E228" s="1" t="str">
        <f t="shared" si="3"/>
        <v>At Current Prices</v>
      </c>
      <c r="F228" s="3">
        <v>1.7172832E7</v>
      </c>
    </row>
    <row r="229" ht="15.75" customHeight="1">
      <c r="A229" s="1" t="str">
        <f t="array" ref="A229">INDEX(Reference!$A$2:$A$18, INT((ROW()-2)/(18*3*2)) + 1)</f>
        <v>Cagayan Valley</v>
      </c>
      <c r="B229" s="2" t="str">
        <f t="array" ref="B229">INDEX(Reference!$C$2:$C$19, MOD(ROW()-2, 18) + 1)</f>
        <v>....Financial and insurance activities</v>
      </c>
      <c r="C229" s="1" t="str">
        <f t="shared" si="1"/>
        <v>Sub</v>
      </c>
      <c r="D229" s="1">
        <f t="shared" si="2"/>
        <v>2022</v>
      </c>
      <c r="E229" s="1" t="str">
        <f t="shared" si="3"/>
        <v>At Current Prices</v>
      </c>
      <c r="F229" s="3">
        <v>1.5994405E7</v>
      </c>
    </row>
    <row r="230" ht="15.75" customHeight="1">
      <c r="A230" s="1" t="str">
        <f t="array" ref="A230">INDEX(Reference!$A$2:$A$18, INT((ROW()-2)/(18*3*2)) + 1)</f>
        <v>Cagayan Valley</v>
      </c>
      <c r="B230" s="2" t="str">
        <f t="array" ref="B230">INDEX(Reference!$C$2:$C$19, MOD(ROW()-2, 18) + 1)</f>
        <v>....Real estate and ownership of dwellings</v>
      </c>
      <c r="C230" s="1" t="str">
        <f t="shared" si="1"/>
        <v>Sub</v>
      </c>
      <c r="D230" s="1">
        <f t="shared" si="2"/>
        <v>2022</v>
      </c>
      <c r="E230" s="1" t="str">
        <f t="shared" si="3"/>
        <v>At Current Prices</v>
      </c>
      <c r="F230" s="3">
        <v>1.8772354E7</v>
      </c>
    </row>
    <row r="231" ht="15.75" customHeight="1">
      <c r="A231" s="1" t="str">
        <f t="array" ref="A231">INDEX(Reference!$A$2:$A$18, INT((ROW()-2)/(18*3*2)) + 1)</f>
        <v>Cagayan Valley</v>
      </c>
      <c r="B231" s="2" t="str">
        <f t="array" ref="B231">INDEX(Reference!$C$2:$C$19, MOD(ROW()-2, 18) + 1)</f>
        <v>....Professional and business services</v>
      </c>
      <c r="C231" s="1" t="str">
        <f t="shared" si="1"/>
        <v>Sub</v>
      </c>
      <c r="D231" s="1">
        <f t="shared" si="2"/>
        <v>2022</v>
      </c>
      <c r="E231" s="1" t="str">
        <f t="shared" si="3"/>
        <v>At Current Prices</v>
      </c>
      <c r="F231" s="3">
        <v>3502396.0</v>
      </c>
    </row>
    <row r="232" ht="15.75" customHeight="1">
      <c r="A232" s="1" t="str">
        <f t="array" ref="A232">INDEX(Reference!$A$2:$A$18, INT((ROW()-2)/(18*3*2)) + 1)</f>
        <v>Cagayan Valley</v>
      </c>
      <c r="B232" s="2" t="str">
        <f t="array" ref="B232">INDEX(Reference!$C$2:$C$19, MOD(ROW()-2, 18) + 1)</f>
        <v>....Public administration and defense; compulsory social activities</v>
      </c>
      <c r="C232" s="1" t="str">
        <f t="shared" si="1"/>
        <v>Sub</v>
      </c>
      <c r="D232" s="1">
        <f t="shared" si="2"/>
        <v>2022</v>
      </c>
      <c r="E232" s="1" t="str">
        <f t="shared" si="3"/>
        <v>At Current Prices</v>
      </c>
      <c r="F232" s="3">
        <v>1.441292E7</v>
      </c>
    </row>
    <row r="233" ht="15.75" customHeight="1">
      <c r="A233" s="1" t="str">
        <f t="array" ref="A233">INDEX(Reference!$A$2:$A$18, INT((ROW()-2)/(18*3*2)) + 1)</f>
        <v>Cagayan Valley</v>
      </c>
      <c r="B233" s="2" t="str">
        <f t="array" ref="B233">INDEX(Reference!$C$2:$C$19, MOD(ROW()-2, 18) + 1)</f>
        <v>....Education</v>
      </c>
      <c r="C233" s="1" t="str">
        <f t="shared" si="1"/>
        <v>Sub</v>
      </c>
      <c r="D233" s="1">
        <f t="shared" si="2"/>
        <v>2022</v>
      </c>
      <c r="E233" s="1" t="str">
        <f t="shared" si="3"/>
        <v>At Current Prices</v>
      </c>
      <c r="F233" s="3">
        <v>3.096313E7</v>
      </c>
    </row>
    <row r="234" ht="15.75" customHeight="1">
      <c r="A234" s="1" t="str">
        <f t="array" ref="A234">INDEX(Reference!$A$2:$A$18, INT((ROW()-2)/(18*3*2)) + 1)</f>
        <v>Cagayan Valley</v>
      </c>
      <c r="B234" s="2" t="str">
        <f t="array" ref="B234">INDEX(Reference!$C$2:$C$19, MOD(ROW()-2, 18) + 1)</f>
        <v>....Human health and social work activities</v>
      </c>
      <c r="C234" s="1" t="str">
        <f t="shared" si="1"/>
        <v>Sub</v>
      </c>
      <c r="D234" s="1">
        <f t="shared" si="2"/>
        <v>2022</v>
      </c>
      <c r="E234" s="1" t="str">
        <f t="shared" si="3"/>
        <v>At Current Prices</v>
      </c>
      <c r="F234" s="3">
        <v>1.1946847E7</v>
      </c>
    </row>
    <row r="235" ht="15.75" customHeight="1">
      <c r="A235" s="1" t="str">
        <f t="array" ref="A235">INDEX(Reference!$A$2:$A$18, INT((ROW()-2)/(18*3*2)) + 1)</f>
        <v>Cagayan Valley</v>
      </c>
      <c r="B235" s="2" t="str">
        <f t="array" ref="B235">INDEX(Reference!$C$2:$C$19, MOD(ROW()-2, 18) + 1)</f>
        <v>....Other services</v>
      </c>
      <c r="C235" s="1" t="str">
        <f t="shared" si="1"/>
        <v>Sub</v>
      </c>
      <c r="D235" s="1">
        <f t="shared" si="2"/>
        <v>2022</v>
      </c>
      <c r="E235" s="1" t="str">
        <f t="shared" si="3"/>
        <v>At Current Prices</v>
      </c>
      <c r="F235" s="3">
        <v>2187151.0</v>
      </c>
    </row>
    <row r="236" ht="15.75" customHeight="1">
      <c r="A236" s="1" t="str">
        <f t="array" ref="A236">INDEX(Reference!$A$2:$A$18, INT((ROW()-2)/(18*3*2)) + 1)</f>
        <v>Cagayan Valley</v>
      </c>
      <c r="B236" s="2" t="str">
        <f t="array" ref="B236">INDEX(Reference!$C$2:$C$19, MOD(ROW()-2, 18) + 1)</f>
        <v>..Agriculture, forestry, and fishing</v>
      </c>
      <c r="C236" s="1" t="str">
        <f t="shared" si="1"/>
        <v>Main</v>
      </c>
      <c r="D236" s="1">
        <f t="shared" si="2"/>
        <v>2023</v>
      </c>
      <c r="E236" s="1" t="str">
        <f t="shared" si="3"/>
        <v>At Current Prices</v>
      </c>
      <c r="F236" s="3">
        <v>1.32041584E8</v>
      </c>
    </row>
    <row r="237" ht="15.75" customHeight="1">
      <c r="A237" s="1" t="str">
        <f t="array" ref="A237">INDEX(Reference!$A$2:$A$18, INT((ROW()-2)/(18*3*2)) + 1)</f>
        <v>Cagayan Valley</v>
      </c>
      <c r="B237" s="2" t="str">
        <f t="array" ref="B237">INDEX(Reference!$C$2:$C$19, MOD(ROW()-2, 18) + 1)</f>
        <v>..Industry</v>
      </c>
      <c r="C237" s="1" t="str">
        <f t="shared" si="1"/>
        <v>Main</v>
      </c>
      <c r="D237" s="1">
        <f t="shared" si="2"/>
        <v>2023</v>
      </c>
      <c r="E237" s="1" t="str">
        <f t="shared" si="3"/>
        <v>At Current Prices</v>
      </c>
      <c r="F237" s="3">
        <v>1.48549023E8</v>
      </c>
    </row>
    <row r="238" ht="15.75" customHeight="1">
      <c r="A238" s="1" t="str">
        <f t="array" ref="A238">INDEX(Reference!$A$2:$A$18, INT((ROW()-2)/(18*3*2)) + 1)</f>
        <v>Cagayan Valley</v>
      </c>
      <c r="B238" s="2" t="str">
        <f t="array" ref="B238">INDEX(Reference!$C$2:$C$19, MOD(ROW()-2, 18) + 1)</f>
        <v>....Mining and quarrying</v>
      </c>
      <c r="C238" s="1" t="str">
        <f t="shared" si="1"/>
        <v>Sub</v>
      </c>
      <c r="D238" s="1">
        <f t="shared" si="2"/>
        <v>2023</v>
      </c>
      <c r="E238" s="1" t="str">
        <f t="shared" si="3"/>
        <v>At Current Prices</v>
      </c>
      <c r="F238" s="3">
        <v>1.9816985E7</v>
      </c>
    </row>
    <row r="239" ht="15.75" customHeight="1">
      <c r="A239" s="1" t="str">
        <f t="array" ref="A239">INDEX(Reference!$A$2:$A$18, INT((ROW()-2)/(18*3*2)) + 1)</f>
        <v>Cagayan Valley</v>
      </c>
      <c r="B239" s="2" t="str">
        <f t="array" ref="B239">INDEX(Reference!$C$2:$C$19, MOD(ROW()-2, 18) + 1)</f>
        <v>....Manufacturing</v>
      </c>
      <c r="C239" s="1" t="str">
        <f t="shared" si="1"/>
        <v>Sub</v>
      </c>
      <c r="D239" s="1">
        <f t="shared" si="2"/>
        <v>2023</v>
      </c>
      <c r="E239" s="1" t="str">
        <f t="shared" si="3"/>
        <v>At Current Prices</v>
      </c>
      <c r="F239" s="3">
        <v>3.9250783E7</v>
      </c>
    </row>
    <row r="240" ht="15.75" customHeight="1">
      <c r="A240" s="1" t="str">
        <f t="array" ref="A240">INDEX(Reference!$A$2:$A$18, INT((ROW()-2)/(18*3*2)) + 1)</f>
        <v>Cagayan Valley</v>
      </c>
      <c r="B240" s="2" t="str">
        <f t="array" ref="B240">INDEX(Reference!$C$2:$C$19, MOD(ROW()-2, 18) + 1)</f>
        <v>....Electricity, steam, water and waste management</v>
      </c>
      <c r="C240" s="1" t="str">
        <f t="shared" si="1"/>
        <v>Sub</v>
      </c>
      <c r="D240" s="1">
        <f t="shared" si="2"/>
        <v>2023</v>
      </c>
      <c r="E240" s="1" t="str">
        <f t="shared" si="3"/>
        <v>At Current Prices</v>
      </c>
      <c r="F240" s="3">
        <v>1.6024014E7</v>
      </c>
    </row>
    <row r="241" ht="15.75" customHeight="1">
      <c r="A241" s="1" t="str">
        <f t="array" ref="A241">INDEX(Reference!$A$2:$A$18, INT((ROW()-2)/(18*3*2)) + 1)</f>
        <v>Cagayan Valley</v>
      </c>
      <c r="B241" s="2" t="str">
        <f t="array" ref="B241">INDEX(Reference!$C$2:$C$19, MOD(ROW()-2, 18) + 1)</f>
        <v>....Construction</v>
      </c>
      <c r="C241" s="1" t="str">
        <f t="shared" si="1"/>
        <v>Sub</v>
      </c>
      <c r="D241" s="1">
        <f t="shared" si="2"/>
        <v>2023</v>
      </c>
      <c r="E241" s="1" t="str">
        <f t="shared" si="3"/>
        <v>At Current Prices</v>
      </c>
      <c r="F241" s="3">
        <v>7.3457241E7</v>
      </c>
    </row>
    <row r="242" ht="15.75" customHeight="1">
      <c r="A242" s="1" t="str">
        <f t="array" ref="A242">INDEX(Reference!$A$2:$A$18, INT((ROW()-2)/(18*3*2)) + 1)</f>
        <v>Cagayan Valley</v>
      </c>
      <c r="B242" s="2" t="str">
        <f t="array" ref="B242">INDEX(Reference!$C$2:$C$19, MOD(ROW()-2, 18) + 1)</f>
        <v>..Services</v>
      </c>
      <c r="C242" s="1" t="str">
        <f t="shared" si="1"/>
        <v>Main</v>
      </c>
      <c r="D242" s="1">
        <f t="shared" si="2"/>
        <v>2023</v>
      </c>
      <c r="E242" s="1" t="str">
        <f t="shared" si="3"/>
        <v>At Current Prices</v>
      </c>
      <c r="F242" s="3">
        <v>2.29994734E8</v>
      </c>
    </row>
    <row r="243" ht="15.75" customHeight="1">
      <c r="A243" s="1" t="str">
        <f t="array" ref="A243">INDEX(Reference!$A$2:$A$18, INT((ROW()-2)/(18*3*2)) + 1)</f>
        <v>Cagayan Valley</v>
      </c>
      <c r="B243" s="2" t="str">
        <f t="array" ref="B243">INDEX(Reference!$C$2:$C$19, MOD(ROW()-2, 18) + 1)</f>
        <v>....Wholesale and retail trade; repair of motor vehicles and motorcycles</v>
      </c>
      <c r="C243" s="1" t="str">
        <f t="shared" si="1"/>
        <v>Sub</v>
      </c>
      <c r="D243" s="1">
        <f t="shared" si="2"/>
        <v>2023</v>
      </c>
      <c r="E243" s="1" t="str">
        <f t="shared" si="3"/>
        <v>At Current Prices</v>
      </c>
      <c r="F243" s="3">
        <v>6.8663656E7</v>
      </c>
    </row>
    <row r="244" ht="15.75" customHeight="1">
      <c r="A244" s="1" t="str">
        <f t="array" ref="A244">INDEX(Reference!$A$2:$A$18, INT((ROW()-2)/(18*3*2)) + 1)</f>
        <v>Cagayan Valley</v>
      </c>
      <c r="B244" s="2" t="str">
        <f t="array" ref="B244">INDEX(Reference!$C$2:$C$19, MOD(ROW()-2, 18) + 1)</f>
        <v>....Transportation and storage</v>
      </c>
      <c r="C244" s="1" t="str">
        <f t="shared" si="1"/>
        <v>Sub</v>
      </c>
      <c r="D244" s="1">
        <f t="shared" si="2"/>
        <v>2023</v>
      </c>
      <c r="E244" s="1" t="str">
        <f t="shared" si="3"/>
        <v>At Current Prices</v>
      </c>
      <c r="F244" s="3">
        <v>2.600615E7</v>
      </c>
    </row>
    <row r="245" ht="15.75" customHeight="1">
      <c r="A245" s="1" t="str">
        <f t="array" ref="A245">INDEX(Reference!$A$2:$A$18, INT((ROW()-2)/(18*3*2)) + 1)</f>
        <v>Cagayan Valley</v>
      </c>
      <c r="B245" s="2" t="str">
        <f t="array" ref="B245">INDEX(Reference!$C$2:$C$19, MOD(ROW()-2, 18) + 1)</f>
        <v>....Accommodation and food service activities</v>
      </c>
      <c r="C245" s="1" t="str">
        <f t="shared" si="1"/>
        <v>Sub</v>
      </c>
      <c r="D245" s="1">
        <f t="shared" si="2"/>
        <v>2023</v>
      </c>
      <c r="E245" s="1" t="str">
        <f t="shared" si="3"/>
        <v>At Current Prices</v>
      </c>
      <c r="F245" s="3">
        <v>8583665.0</v>
      </c>
    </row>
    <row r="246" ht="15.75" customHeight="1">
      <c r="A246" s="1" t="str">
        <f t="array" ref="A246">INDEX(Reference!$A$2:$A$18, INT((ROW()-2)/(18*3*2)) + 1)</f>
        <v>Cagayan Valley</v>
      </c>
      <c r="B246" s="2" t="str">
        <f t="array" ref="B246">INDEX(Reference!$C$2:$C$19, MOD(ROW()-2, 18) + 1)</f>
        <v>....Information and communication</v>
      </c>
      <c r="C246" s="1" t="str">
        <f t="shared" si="1"/>
        <v>Sub</v>
      </c>
      <c r="D246" s="1">
        <f t="shared" si="2"/>
        <v>2023</v>
      </c>
      <c r="E246" s="1" t="str">
        <f t="shared" si="3"/>
        <v>At Current Prices</v>
      </c>
      <c r="F246" s="3">
        <v>1.9003479E7</v>
      </c>
    </row>
    <row r="247" ht="15.75" customHeight="1">
      <c r="A247" s="1" t="str">
        <f t="array" ref="A247">INDEX(Reference!$A$2:$A$18, INT((ROW()-2)/(18*3*2)) + 1)</f>
        <v>Cagayan Valley</v>
      </c>
      <c r="B247" s="2" t="str">
        <f t="array" ref="B247">INDEX(Reference!$C$2:$C$19, MOD(ROW()-2, 18) + 1)</f>
        <v>....Financial and insurance activities</v>
      </c>
      <c r="C247" s="1" t="str">
        <f t="shared" si="1"/>
        <v>Sub</v>
      </c>
      <c r="D247" s="1">
        <f t="shared" si="2"/>
        <v>2023</v>
      </c>
      <c r="E247" s="1" t="str">
        <f t="shared" si="3"/>
        <v>At Current Prices</v>
      </c>
      <c r="F247" s="3">
        <v>1.839529E7</v>
      </c>
    </row>
    <row r="248" ht="15.75" customHeight="1">
      <c r="A248" s="1" t="str">
        <f t="array" ref="A248">INDEX(Reference!$A$2:$A$18, INT((ROW()-2)/(18*3*2)) + 1)</f>
        <v>Cagayan Valley</v>
      </c>
      <c r="B248" s="2" t="str">
        <f t="array" ref="B248">INDEX(Reference!$C$2:$C$19, MOD(ROW()-2, 18) + 1)</f>
        <v>....Real estate and ownership of dwellings</v>
      </c>
      <c r="C248" s="1" t="str">
        <f t="shared" si="1"/>
        <v>Sub</v>
      </c>
      <c r="D248" s="1">
        <f t="shared" si="2"/>
        <v>2023</v>
      </c>
      <c r="E248" s="1" t="str">
        <f t="shared" si="3"/>
        <v>At Current Prices</v>
      </c>
      <c r="F248" s="3">
        <v>2.0300834E7</v>
      </c>
    </row>
    <row r="249" ht="15.75" customHeight="1">
      <c r="A249" s="1" t="str">
        <f t="array" ref="A249">INDEX(Reference!$A$2:$A$18, INT((ROW()-2)/(18*3*2)) + 1)</f>
        <v>Cagayan Valley</v>
      </c>
      <c r="B249" s="2" t="str">
        <f t="array" ref="B249">INDEX(Reference!$C$2:$C$19, MOD(ROW()-2, 18) + 1)</f>
        <v>....Professional and business services</v>
      </c>
      <c r="C249" s="1" t="str">
        <f t="shared" si="1"/>
        <v>Sub</v>
      </c>
      <c r="D249" s="1">
        <f t="shared" si="2"/>
        <v>2023</v>
      </c>
      <c r="E249" s="1" t="str">
        <f t="shared" si="3"/>
        <v>At Current Prices</v>
      </c>
      <c r="F249" s="3">
        <v>3941536.0</v>
      </c>
    </row>
    <row r="250" ht="15.75" customHeight="1">
      <c r="A250" s="1" t="str">
        <f t="array" ref="A250">INDEX(Reference!$A$2:$A$18, INT((ROW()-2)/(18*3*2)) + 1)</f>
        <v>Cagayan Valley</v>
      </c>
      <c r="B250" s="2" t="str">
        <f t="array" ref="B250">INDEX(Reference!$C$2:$C$19, MOD(ROW()-2, 18) + 1)</f>
        <v>....Public administration and defense; compulsory social activities</v>
      </c>
      <c r="C250" s="1" t="str">
        <f t="shared" si="1"/>
        <v>Sub</v>
      </c>
      <c r="D250" s="1">
        <f t="shared" si="2"/>
        <v>2023</v>
      </c>
      <c r="E250" s="1" t="str">
        <f t="shared" si="3"/>
        <v>At Current Prices</v>
      </c>
      <c r="F250" s="3">
        <v>1.5742971E7</v>
      </c>
    </row>
    <row r="251" ht="15.75" customHeight="1">
      <c r="A251" s="1" t="str">
        <f t="array" ref="A251">INDEX(Reference!$A$2:$A$18, INT((ROW()-2)/(18*3*2)) + 1)</f>
        <v>Cagayan Valley</v>
      </c>
      <c r="B251" s="2" t="str">
        <f t="array" ref="B251">INDEX(Reference!$C$2:$C$19, MOD(ROW()-2, 18) + 1)</f>
        <v>....Education</v>
      </c>
      <c r="C251" s="1" t="str">
        <f t="shared" si="1"/>
        <v>Sub</v>
      </c>
      <c r="D251" s="1">
        <f t="shared" si="2"/>
        <v>2023</v>
      </c>
      <c r="E251" s="1" t="str">
        <f t="shared" si="3"/>
        <v>At Current Prices</v>
      </c>
      <c r="F251" s="3">
        <v>3.3368716E7</v>
      </c>
    </row>
    <row r="252" ht="15.75" customHeight="1">
      <c r="A252" s="1" t="str">
        <f t="array" ref="A252">INDEX(Reference!$A$2:$A$18, INT((ROW()-2)/(18*3*2)) + 1)</f>
        <v>Cagayan Valley</v>
      </c>
      <c r="B252" s="2" t="str">
        <f t="array" ref="B252">INDEX(Reference!$C$2:$C$19, MOD(ROW()-2, 18) + 1)</f>
        <v>....Human health and social work activities</v>
      </c>
      <c r="C252" s="1" t="str">
        <f t="shared" si="1"/>
        <v>Sub</v>
      </c>
      <c r="D252" s="1">
        <f t="shared" si="2"/>
        <v>2023</v>
      </c>
      <c r="E252" s="1" t="str">
        <f t="shared" si="3"/>
        <v>At Current Prices</v>
      </c>
      <c r="F252" s="3">
        <v>1.3230564E7</v>
      </c>
    </row>
    <row r="253" ht="15.75" customHeight="1">
      <c r="A253" s="1" t="str">
        <f t="array" ref="A253">INDEX(Reference!$A$2:$A$18, INT((ROW()-2)/(18*3*2)) + 1)</f>
        <v>Cagayan Valley</v>
      </c>
      <c r="B253" s="2" t="str">
        <f t="array" ref="B253">INDEX(Reference!$C$2:$C$19, MOD(ROW()-2, 18) + 1)</f>
        <v>....Other services</v>
      </c>
      <c r="C253" s="1" t="str">
        <f t="shared" si="1"/>
        <v>Sub</v>
      </c>
      <c r="D253" s="1">
        <f t="shared" si="2"/>
        <v>2023</v>
      </c>
      <c r="E253" s="1" t="str">
        <f t="shared" si="3"/>
        <v>At Current Prices</v>
      </c>
      <c r="F253" s="3">
        <v>2757873.0</v>
      </c>
    </row>
    <row r="254" ht="15.75" customHeight="1">
      <c r="A254" s="1" t="str">
        <f t="array" ref="A254">INDEX(Reference!$A$2:$A$18, INT((ROW()-2)/(18*3*2)) + 1)</f>
        <v>Cagayan Valley</v>
      </c>
      <c r="B254" s="2" t="str">
        <f t="array" ref="B254">INDEX(Reference!$C$2:$C$19, MOD(ROW()-2, 18) + 1)</f>
        <v>..Agriculture, forestry, and fishing</v>
      </c>
      <c r="C254" s="1" t="str">
        <f t="shared" si="1"/>
        <v>Main</v>
      </c>
      <c r="D254" s="1">
        <f t="shared" si="2"/>
        <v>2024</v>
      </c>
      <c r="E254" s="1" t="str">
        <f t="shared" si="3"/>
        <v>At Current Prices</v>
      </c>
      <c r="F254" s="3">
        <v>1.44472924E8</v>
      </c>
    </row>
    <row r="255" ht="15.75" customHeight="1">
      <c r="A255" s="1" t="str">
        <f t="array" ref="A255">INDEX(Reference!$A$2:$A$18, INT((ROW()-2)/(18*3*2)) + 1)</f>
        <v>Cagayan Valley</v>
      </c>
      <c r="B255" s="2" t="str">
        <f t="array" ref="B255">INDEX(Reference!$C$2:$C$19, MOD(ROW()-2, 18) + 1)</f>
        <v>..Industry</v>
      </c>
      <c r="C255" s="1" t="str">
        <f t="shared" si="1"/>
        <v>Main</v>
      </c>
      <c r="D255" s="1">
        <f t="shared" si="2"/>
        <v>2024</v>
      </c>
      <c r="E255" s="1" t="str">
        <f t="shared" si="3"/>
        <v>At Current Prices</v>
      </c>
      <c r="F255" s="3">
        <v>1.6696498E8</v>
      </c>
    </row>
    <row r="256" ht="15.75" customHeight="1">
      <c r="A256" s="1" t="str">
        <f t="array" ref="A256">INDEX(Reference!$A$2:$A$18, INT((ROW()-2)/(18*3*2)) + 1)</f>
        <v>Cagayan Valley</v>
      </c>
      <c r="B256" s="2" t="str">
        <f t="array" ref="B256">INDEX(Reference!$C$2:$C$19, MOD(ROW()-2, 18) + 1)</f>
        <v>....Mining and quarrying</v>
      </c>
      <c r="C256" s="1" t="str">
        <f t="shared" si="1"/>
        <v>Sub</v>
      </c>
      <c r="D256" s="1">
        <f t="shared" si="2"/>
        <v>2024</v>
      </c>
      <c r="E256" s="1" t="str">
        <f t="shared" si="3"/>
        <v>At Current Prices</v>
      </c>
      <c r="F256" s="3">
        <v>2.1558899E7</v>
      </c>
    </row>
    <row r="257" ht="15.75" customHeight="1">
      <c r="A257" s="1" t="str">
        <f t="array" ref="A257">INDEX(Reference!$A$2:$A$18, INT((ROW()-2)/(18*3*2)) + 1)</f>
        <v>Cagayan Valley</v>
      </c>
      <c r="B257" s="2" t="str">
        <f t="array" ref="B257">INDEX(Reference!$C$2:$C$19, MOD(ROW()-2, 18) + 1)</f>
        <v>....Manufacturing</v>
      </c>
      <c r="C257" s="1" t="str">
        <f t="shared" si="1"/>
        <v>Sub</v>
      </c>
      <c r="D257" s="1">
        <f t="shared" si="2"/>
        <v>2024</v>
      </c>
      <c r="E257" s="1" t="str">
        <f t="shared" si="3"/>
        <v>At Current Prices</v>
      </c>
      <c r="F257" s="3">
        <v>4.2488993E7</v>
      </c>
    </row>
    <row r="258" ht="15.75" customHeight="1">
      <c r="A258" s="1" t="str">
        <f t="array" ref="A258">INDEX(Reference!$A$2:$A$18, INT((ROW()-2)/(18*3*2)) + 1)</f>
        <v>Cagayan Valley</v>
      </c>
      <c r="B258" s="2" t="str">
        <f t="array" ref="B258">INDEX(Reference!$C$2:$C$19, MOD(ROW()-2, 18) + 1)</f>
        <v>....Electricity, steam, water and waste management</v>
      </c>
      <c r="C258" s="1" t="str">
        <f t="shared" si="1"/>
        <v>Sub</v>
      </c>
      <c r="D258" s="1">
        <f t="shared" si="2"/>
        <v>2024</v>
      </c>
      <c r="E258" s="1" t="str">
        <f t="shared" si="3"/>
        <v>At Current Prices</v>
      </c>
      <c r="F258" s="3">
        <v>1.6506538E7</v>
      </c>
    </row>
    <row r="259" ht="15.75" customHeight="1">
      <c r="A259" s="1" t="str">
        <f t="array" ref="A259">INDEX(Reference!$A$2:$A$18, INT((ROW()-2)/(18*3*2)) + 1)</f>
        <v>Cagayan Valley</v>
      </c>
      <c r="B259" s="2" t="str">
        <f t="array" ref="B259">INDEX(Reference!$C$2:$C$19, MOD(ROW()-2, 18) + 1)</f>
        <v>....Construction</v>
      </c>
      <c r="C259" s="1" t="str">
        <f t="shared" si="1"/>
        <v>Sub</v>
      </c>
      <c r="D259" s="1">
        <f t="shared" si="2"/>
        <v>2024</v>
      </c>
      <c r="E259" s="1" t="str">
        <f t="shared" si="3"/>
        <v>At Current Prices</v>
      </c>
      <c r="F259" s="3">
        <v>8.641055E7</v>
      </c>
    </row>
    <row r="260" ht="15.75" customHeight="1">
      <c r="A260" s="1" t="str">
        <f t="array" ref="A260">INDEX(Reference!$A$2:$A$18, INT((ROW()-2)/(18*3*2)) + 1)</f>
        <v>Cagayan Valley</v>
      </c>
      <c r="B260" s="2" t="str">
        <f t="array" ref="B260">INDEX(Reference!$C$2:$C$19, MOD(ROW()-2, 18) + 1)</f>
        <v>..Services</v>
      </c>
      <c r="C260" s="1" t="str">
        <f t="shared" si="1"/>
        <v>Main</v>
      </c>
      <c r="D260" s="1">
        <f t="shared" si="2"/>
        <v>2024</v>
      </c>
      <c r="E260" s="1" t="str">
        <f t="shared" si="3"/>
        <v>At Current Prices</v>
      </c>
      <c r="F260" s="3">
        <v>2.5272728E8</v>
      </c>
    </row>
    <row r="261" ht="15.75" customHeight="1">
      <c r="A261" s="1" t="str">
        <f t="array" ref="A261">INDEX(Reference!$A$2:$A$18, INT((ROW()-2)/(18*3*2)) + 1)</f>
        <v>Cagayan Valley</v>
      </c>
      <c r="B261" s="2" t="str">
        <f t="array" ref="B261">INDEX(Reference!$C$2:$C$19, MOD(ROW()-2, 18) + 1)</f>
        <v>....Wholesale and retail trade; repair of motor vehicles and motorcycles</v>
      </c>
      <c r="C261" s="1" t="str">
        <f t="shared" si="1"/>
        <v>Sub</v>
      </c>
      <c r="D261" s="1">
        <f t="shared" si="2"/>
        <v>2024</v>
      </c>
      <c r="E261" s="1" t="str">
        <f t="shared" si="3"/>
        <v>At Current Prices</v>
      </c>
      <c r="F261" s="3">
        <v>7.5088744E7</v>
      </c>
    </row>
    <row r="262" ht="15.75" customHeight="1">
      <c r="A262" s="1" t="str">
        <f t="array" ref="A262">INDEX(Reference!$A$2:$A$18, INT((ROW()-2)/(18*3*2)) + 1)</f>
        <v>Cagayan Valley</v>
      </c>
      <c r="B262" s="2" t="str">
        <f t="array" ref="B262">INDEX(Reference!$C$2:$C$19, MOD(ROW()-2, 18) + 1)</f>
        <v>....Transportation and storage</v>
      </c>
      <c r="C262" s="1" t="str">
        <f t="shared" si="1"/>
        <v>Sub</v>
      </c>
      <c r="D262" s="1">
        <f t="shared" si="2"/>
        <v>2024</v>
      </c>
      <c r="E262" s="1" t="str">
        <f t="shared" si="3"/>
        <v>At Current Prices</v>
      </c>
      <c r="F262" s="3">
        <v>2.8693634E7</v>
      </c>
    </row>
    <row r="263" ht="15.75" customHeight="1">
      <c r="A263" s="1" t="str">
        <f t="array" ref="A263">INDEX(Reference!$A$2:$A$18, INT((ROW()-2)/(18*3*2)) + 1)</f>
        <v>Cagayan Valley</v>
      </c>
      <c r="B263" s="2" t="str">
        <f t="array" ref="B263">INDEX(Reference!$C$2:$C$19, MOD(ROW()-2, 18) + 1)</f>
        <v>....Accommodation and food service activities</v>
      </c>
      <c r="C263" s="1" t="str">
        <f t="shared" si="1"/>
        <v>Sub</v>
      </c>
      <c r="D263" s="1">
        <f t="shared" si="2"/>
        <v>2024</v>
      </c>
      <c r="E263" s="1" t="str">
        <f t="shared" si="3"/>
        <v>At Current Prices</v>
      </c>
      <c r="F263" s="3">
        <v>1.0201597E7</v>
      </c>
    </row>
    <row r="264" ht="15.75" customHeight="1">
      <c r="A264" s="1" t="str">
        <f t="array" ref="A264">INDEX(Reference!$A$2:$A$18, INT((ROW()-2)/(18*3*2)) + 1)</f>
        <v>Cagayan Valley</v>
      </c>
      <c r="B264" s="2" t="str">
        <f t="array" ref="B264">INDEX(Reference!$C$2:$C$19, MOD(ROW()-2, 18) + 1)</f>
        <v>....Information and communication</v>
      </c>
      <c r="C264" s="1" t="str">
        <f t="shared" si="1"/>
        <v>Sub</v>
      </c>
      <c r="D264" s="1">
        <f t="shared" si="2"/>
        <v>2024</v>
      </c>
      <c r="E264" s="1" t="str">
        <f t="shared" si="3"/>
        <v>At Current Prices</v>
      </c>
      <c r="F264" s="3">
        <v>1.9762095E7</v>
      </c>
    </row>
    <row r="265" ht="15.75" customHeight="1">
      <c r="A265" s="1" t="str">
        <f t="array" ref="A265">INDEX(Reference!$A$2:$A$18, INT((ROW()-2)/(18*3*2)) + 1)</f>
        <v>Cagayan Valley</v>
      </c>
      <c r="B265" s="2" t="str">
        <f t="array" ref="B265">INDEX(Reference!$C$2:$C$19, MOD(ROW()-2, 18) + 1)</f>
        <v>....Financial and insurance activities</v>
      </c>
      <c r="C265" s="1" t="str">
        <f t="shared" si="1"/>
        <v>Sub</v>
      </c>
      <c r="D265" s="1">
        <f t="shared" si="2"/>
        <v>2024</v>
      </c>
      <c r="E265" s="1" t="str">
        <f t="shared" si="3"/>
        <v>At Current Prices</v>
      </c>
      <c r="F265" s="3">
        <v>2.0906165E7</v>
      </c>
    </row>
    <row r="266" ht="15.75" customHeight="1">
      <c r="A266" s="1" t="str">
        <f t="array" ref="A266">INDEX(Reference!$A$2:$A$18, INT((ROW()-2)/(18*3*2)) + 1)</f>
        <v>Cagayan Valley</v>
      </c>
      <c r="B266" s="2" t="str">
        <f t="array" ref="B266">INDEX(Reference!$C$2:$C$19, MOD(ROW()-2, 18) + 1)</f>
        <v>....Real estate and ownership of dwellings</v>
      </c>
      <c r="C266" s="1" t="str">
        <f t="shared" si="1"/>
        <v>Sub</v>
      </c>
      <c r="D266" s="1">
        <f t="shared" si="2"/>
        <v>2024</v>
      </c>
      <c r="E266" s="1" t="str">
        <f t="shared" si="3"/>
        <v>At Current Prices</v>
      </c>
      <c r="F266" s="3">
        <v>2.2132253E7</v>
      </c>
    </row>
    <row r="267" ht="15.75" customHeight="1">
      <c r="A267" s="1" t="str">
        <f t="array" ref="A267">INDEX(Reference!$A$2:$A$18, INT((ROW()-2)/(18*3*2)) + 1)</f>
        <v>Cagayan Valley</v>
      </c>
      <c r="B267" s="2" t="str">
        <f t="array" ref="B267">INDEX(Reference!$C$2:$C$19, MOD(ROW()-2, 18) + 1)</f>
        <v>....Professional and business services</v>
      </c>
      <c r="C267" s="1" t="str">
        <f t="shared" si="1"/>
        <v>Sub</v>
      </c>
      <c r="D267" s="1">
        <f t="shared" si="2"/>
        <v>2024</v>
      </c>
      <c r="E267" s="1" t="str">
        <f t="shared" si="3"/>
        <v>At Current Prices</v>
      </c>
      <c r="F267" s="3">
        <v>4681669.0</v>
      </c>
    </row>
    <row r="268" ht="15.75" customHeight="1">
      <c r="A268" s="1" t="str">
        <f t="array" ref="A268">INDEX(Reference!$A$2:$A$18, INT((ROW()-2)/(18*3*2)) + 1)</f>
        <v>Cagayan Valley</v>
      </c>
      <c r="B268" s="2" t="str">
        <f t="array" ref="B268">INDEX(Reference!$C$2:$C$19, MOD(ROW()-2, 18) + 1)</f>
        <v>....Public administration and defense; compulsory social activities</v>
      </c>
      <c r="C268" s="1" t="str">
        <f t="shared" si="1"/>
        <v>Sub</v>
      </c>
      <c r="D268" s="1">
        <f t="shared" si="2"/>
        <v>2024</v>
      </c>
      <c r="E268" s="1" t="str">
        <f t="shared" si="3"/>
        <v>At Current Prices</v>
      </c>
      <c r="F268" s="3">
        <v>1.7337541E7</v>
      </c>
    </row>
    <row r="269" ht="15.75" customHeight="1">
      <c r="A269" s="1" t="str">
        <f t="array" ref="A269">INDEX(Reference!$A$2:$A$18, INT((ROW()-2)/(18*3*2)) + 1)</f>
        <v>Cagayan Valley</v>
      </c>
      <c r="B269" s="2" t="str">
        <f t="array" ref="B269">INDEX(Reference!$C$2:$C$19, MOD(ROW()-2, 18) + 1)</f>
        <v>....Education</v>
      </c>
      <c r="C269" s="1" t="str">
        <f t="shared" si="1"/>
        <v>Sub</v>
      </c>
      <c r="D269" s="1">
        <f t="shared" si="2"/>
        <v>2024</v>
      </c>
      <c r="E269" s="1" t="str">
        <f t="shared" si="3"/>
        <v>At Current Prices</v>
      </c>
      <c r="F269" s="3">
        <v>3.5388342E7</v>
      </c>
    </row>
    <row r="270" ht="15.75" customHeight="1">
      <c r="A270" s="1" t="str">
        <f t="array" ref="A270">INDEX(Reference!$A$2:$A$18, INT((ROW()-2)/(18*3*2)) + 1)</f>
        <v>Cagayan Valley</v>
      </c>
      <c r="B270" s="2" t="str">
        <f t="array" ref="B270">INDEX(Reference!$C$2:$C$19, MOD(ROW()-2, 18) + 1)</f>
        <v>....Human health and social work activities</v>
      </c>
      <c r="C270" s="1" t="str">
        <f t="shared" si="1"/>
        <v>Sub</v>
      </c>
      <c r="D270" s="1">
        <f t="shared" si="2"/>
        <v>2024</v>
      </c>
      <c r="E270" s="1" t="str">
        <f t="shared" si="3"/>
        <v>At Current Prices</v>
      </c>
      <c r="F270" s="3">
        <v>1.5363391E7</v>
      </c>
    </row>
    <row r="271" ht="15.75" customHeight="1">
      <c r="A271" s="1" t="str">
        <f t="array" ref="A271">INDEX(Reference!$A$2:$A$18, INT((ROW()-2)/(18*3*2)) + 1)</f>
        <v>Cagayan Valley</v>
      </c>
      <c r="B271" s="2" t="str">
        <f t="array" ref="B271">INDEX(Reference!$C$2:$C$19, MOD(ROW()-2, 18) + 1)</f>
        <v>....Other services</v>
      </c>
      <c r="C271" s="1" t="str">
        <f t="shared" si="1"/>
        <v>Sub</v>
      </c>
      <c r="D271" s="1">
        <f t="shared" si="2"/>
        <v>2024</v>
      </c>
      <c r="E271" s="1" t="str">
        <f t="shared" si="3"/>
        <v>At Current Prices</v>
      </c>
      <c r="F271" s="3">
        <v>3171850.0</v>
      </c>
    </row>
    <row r="272" ht="15.75" customHeight="1">
      <c r="A272" s="1" t="str">
        <f t="array" ref="A272">INDEX(Reference!$A$2:$A$18, INT((ROW()-2)/(18*3*2)) + 1)</f>
        <v>Cagayan Valley</v>
      </c>
      <c r="B272" s="2" t="str">
        <f t="array" ref="B272">INDEX(Reference!$C$2:$C$19, MOD(ROW()-2, 18) + 1)</f>
        <v>..Agriculture, forestry, and fishing</v>
      </c>
      <c r="C272" s="1" t="str">
        <f t="shared" si="1"/>
        <v>Main</v>
      </c>
      <c r="D272" s="1">
        <f t="shared" si="2"/>
        <v>2022</v>
      </c>
      <c r="E272" s="1" t="str">
        <f t="shared" si="3"/>
        <v>At Constant 2018 Prices</v>
      </c>
      <c r="F272" s="3">
        <v>1.17356951E8</v>
      </c>
    </row>
    <row r="273" ht="15.75" customHeight="1">
      <c r="A273" s="1" t="str">
        <f t="array" ref="A273">INDEX(Reference!$A$2:$A$18, INT((ROW()-2)/(18*3*2)) + 1)</f>
        <v>Cagayan Valley</v>
      </c>
      <c r="B273" s="2" t="str">
        <f t="array" ref="B273">INDEX(Reference!$C$2:$C$19, MOD(ROW()-2, 18) + 1)</f>
        <v>..Industry</v>
      </c>
      <c r="C273" s="1" t="str">
        <f t="shared" si="1"/>
        <v>Main</v>
      </c>
      <c r="D273" s="1">
        <f t="shared" si="2"/>
        <v>2022</v>
      </c>
      <c r="E273" s="1" t="str">
        <f t="shared" si="3"/>
        <v>At Constant 2018 Prices</v>
      </c>
      <c r="F273" s="3">
        <v>1.17416275E8</v>
      </c>
    </row>
    <row r="274" ht="15.75" customHeight="1">
      <c r="A274" s="1" t="str">
        <f t="array" ref="A274">INDEX(Reference!$A$2:$A$18, INT((ROW()-2)/(18*3*2)) + 1)</f>
        <v>Cagayan Valley</v>
      </c>
      <c r="B274" s="2" t="str">
        <f t="array" ref="B274">INDEX(Reference!$C$2:$C$19, MOD(ROW()-2, 18) + 1)</f>
        <v>....Mining and quarrying</v>
      </c>
      <c r="C274" s="1" t="str">
        <f t="shared" si="1"/>
        <v>Sub</v>
      </c>
      <c r="D274" s="1">
        <f t="shared" si="2"/>
        <v>2022</v>
      </c>
      <c r="E274" s="1" t="str">
        <f t="shared" si="3"/>
        <v>At Constant 2018 Prices</v>
      </c>
      <c r="F274" s="3">
        <v>1.1449672E7</v>
      </c>
    </row>
    <row r="275" ht="15.75" customHeight="1">
      <c r="A275" s="1" t="str">
        <f t="array" ref="A275">INDEX(Reference!$A$2:$A$18, INT((ROW()-2)/(18*3*2)) + 1)</f>
        <v>Cagayan Valley</v>
      </c>
      <c r="B275" s="2" t="str">
        <f t="array" ref="B275">INDEX(Reference!$C$2:$C$19, MOD(ROW()-2, 18) + 1)</f>
        <v>....Manufacturing</v>
      </c>
      <c r="C275" s="1" t="str">
        <f t="shared" si="1"/>
        <v>Sub</v>
      </c>
      <c r="D275" s="1">
        <f t="shared" si="2"/>
        <v>2022</v>
      </c>
      <c r="E275" s="1" t="str">
        <f t="shared" si="3"/>
        <v>At Constant 2018 Prices</v>
      </c>
      <c r="F275" s="3">
        <v>3.9840481E7</v>
      </c>
    </row>
    <row r="276" ht="15.75" customHeight="1">
      <c r="A276" s="1" t="str">
        <f t="array" ref="A276">INDEX(Reference!$A$2:$A$18, INT((ROW()-2)/(18*3*2)) + 1)</f>
        <v>Cagayan Valley</v>
      </c>
      <c r="B276" s="2" t="str">
        <f t="array" ref="B276">INDEX(Reference!$C$2:$C$19, MOD(ROW()-2, 18) + 1)</f>
        <v>....Electricity, steam, water and waste management</v>
      </c>
      <c r="C276" s="1" t="str">
        <f t="shared" si="1"/>
        <v>Sub</v>
      </c>
      <c r="D276" s="1">
        <f t="shared" si="2"/>
        <v>2022</v>
      </c>
      <c r="E276" s="1" t="str">
        <f t="shared" si="3"/>
        <v>At Constant 2018 Prices</v>
      </c>
      <c r="F276" s="3">
        <v>1.2417584E7</v>
      </c>
    </row>
    <row r="277" ht="15.75" customHeight="1">
      <c r="A277" s="1" t="str">
        <f t="array" ref="A277">INDEX(Reference!$A$2:$A$18, INT((ROW()-2)/(18*3*2)) + 1)</f>
        <v>Cagayan Valley</v>
      </c>
      <c r="B277" s="2" t="str">
        <f t="array" ref="B277">INDEX(Reference!$C$2:$C$19, MOD(ROW()-2, 18) + 1)</f>
        <v>....Construction</v>
      </c>
      <c r="C277" s="1" t="str">
        <f t="shared" si="1"/>
        <v>Sub</v>
      </c>
      <c r="D277" s="1">
        <f t="shared" si="2"/>
        <v>2022</v>
      </c>
      <c r="E277" s="1" t="str">
        <f t="shared" si="3"/>
        <v>At Constant 2018 Prices</v>
      </c>
      <c r="F277" s="3">
        <v>5.3708539E7</v>
      </c>
    </row>
    <row r="278" ht="15.75" customHeight="1">
      <c r="A278" s="1" t="str">
        <f t="array" ref="A278">INDEX(Reference!$A$2:$A$18, INT((ROW()-2)/(18*3*2)) + 1)</f>
        <v>Cagayan Valley</v>
      </c>
      <c r="B278" s="2" t="str">
        <f t="array" ref="B278">INDEX(Reference!$C$2:$C$19, MOD(ROW()-2, 18) + 1)</f>
        <v>..Services</v>
      </c>
      <c r="C278" s="1" t="str">
        <f t="shared" si="1"/>
        <v>Main</v>
      </c>
      <c r="D278" s="1">
        <f t="shared" si="2"/>
        <v>2022</v>
      </c>
      <c r="E278" s="1" t="str">
        <f t="shared" si="3"/>
        <v>At Constant 2018 Prices</v>
      </c>
      <c r="F278" s="3">
        <v>1.86272336E8</v>
      </c>
    </row>
    <row r="279" ht="15.75" customHeight="1">
      <c r="A279" s="1" t="str">
        <f t="array" ref="A279">INDEX(Reference!$A$2:$A$18, INT((ROW()-2)/(18*3*2)) + 1)</f>
        <v>Cagayan Valley</v>
      </c>
      <c r="B279" s="2" t="str">
        <f t="array" ref="B279">INDEX(Reference!$C$2:$C$19, MOD(ROW()-2, 18) + 1)</f>
        <v>....Wholesale and retail trade; repair of motor vehicles and motorcycles</v>
      </c>
      <c r="C279" s="1" t="str">
        <f t="shared" si="1"/>
        <v>Sub</v>
      </c>
      <c r="D279" s="1">
        <f t="shared" si="2"/>
        <v>2022</v>
      </c>
      <c r="E279" s="1" t="str">
        <f t="shared" si="3"/>
        <v>At Constant 2018 Prices</v>
      </c>
      <c r="F279" s="3">
        <v>5.6160181E7</v>
      </c>
    </row>
    <row r="280" ht="15.75" customHeight="1">
      <c r="A280" s="1" t="str">
        <f t="array" ref="A280">INDEX(Reference!$A$2:$A$18, INT((ROW()-2)/(18*3*2)) + 1)</f>
        <v>Cagayan Valley</v>
      </c>
      <c r="B280" s="2" t="str">
        <f t="array" ref="B280">INDEX(Reference!$C$2:$C$19, MOD(ROW()-2, 18) + 1)</f>
        <v>....Transportation and storage</v>
      </c>
      <c r="C280" s="1" t="str">
        <f t="shared" si="1"/>
        <v>Sub</v>
      </c>
      <c r="D280" s="1">
        <f t="shared" si="2"/>
        <v>2022</v>
      </c>
      <c r="E280" s="1" t="str">
        <f t="shared" si="3"/>
        <v>At Constant 2018 Prices</v>
      </c>
      <c r="F280" s="3">
        <v>1.8355788E7</v>
      </c>
    </row>
    <row r="281" ht="15.75" customHeight="1">
      <c r="A281" s="1" t="str">
        <f t="array" ref="A281">INDEX(Reference!$A$2:$A$18, INT((ROW()-2)/(18*3*2)) + 1)</f>
        <v>Cagayan Valley</v>
      </c>
      <c r="B281" s="2" t="str">
        <f t="array" ref="B281">INDEX(Reference!$C$2:$C$19, MOD(ROW()-2, 18) + 1)</f>
        <v>....Accommodation and food service activities</v>
      </c>
      <c r="C281" s="1" t="str">
        <f t="shared" si="1"/>
        <v>Sub</v>
      </c>
      <c r="D281" s="1">
        <f t="shared" si="2"/>
        <v>2022</v>
      </c>
      <c r="E281" s="1" t="str">
        <f t="shared" si="3"/>
        <v>At Constant 2018 Prices</v>
      </c>
      <c r="F281" s="3">
        <v>6080024.0</v>
      </c>
    </row>
    <row r="282" ht="15.75" customHeight="1">
      <c r="A282" s="1" t="str">
        <f t="array" ref="A282">INDEX(Reference!$A$2:$A$18, INT((ROW()-2)/(18*3*2)) + 1)</f>
        <v>Cagayan Valley</v>
      </c>
      <c r="B282" s="2" t="str">
        <f t="array" ref="B282">INDEX(Reference!$C$2:$C$19, MOD(ROW()-2, 18) + 1)</f>
        <v>....Information and communication</v>
      </c>
      <c r="C282" s="1" t="str">
        <f t="shared" si="1"/>
        <v>Sub</v>
      </c>
      <c r="D282" s="1">
        <f t="shared" si="2"/>
        <v>2022</v>
      </c>
      <c r="E282" s="1" t="str">
        <f t="shared" si="3"/>
        <v>At Constant 2018 Prices</v>
      </c>
      <c r="F282" s="3">
        <v>1.6894831E7</v>
      </c>
    </row>
    <row r="283" ht="15.75" customHeight="1">
      <c r="A283" s="1" t="str">
        <f t="array" ref="A283">INDEX(Reference!$A$2:$A$18, INT((ROW()-2)/(18*3*2)) + 1)</f>
        <v>Cagayan Valley</v>
      </c>
      <c r="B283" s="2" t="str">
        <f t="array" ref="B283">INDEX(Reference!$C$2:$C$19, MOD(ROW()-2, 18) + 1)</f>
        <v>....Financial and insurance activities</v>
      </c>
      <c r="C283" s="1" t="str">
        <f t="shared" si="1"/>
        <v>Sub</v>
      </c>
      <c r="D283" s="1">
        <f t="shared" si="2"/>
        <v>2022</v>
      </c>
      <c r="E283" s="1" t="str">
        <f t="shared" si="3"/>
        <v>At Constant 2018 Prices</v>
      </c>
      <c r="F283" s="3">
        <v>1.3939289E7</v>
      </c>
    </row>
    <row r="284" ht="15.75" customHeight="1">
      <c r="A284" s="1" t="str">
        <f t="array" ref="A284">INDEX(Reference!$A$2:$A$18, INT((ROW()-2)/(18*3*2)) + 1)</f>
        <v>Cagayan Valley</v>
      </c>
      <c r="B284" s="2" t="str">
        <f t="array" ref="B284">INDEX(Reference!$C$2:$C$19, MOD(ROW()-2, 18) + 1)</f>
        <v>....Real estate and ownership of dwellings</v>
      </c>
      <c r="C284" s="1" t="str">
        <f t="shared" si="1"/>
        <v>Sub</v>
      </c>
      <c r="D284" s="1">
        <f t="shared" si="2"/>
        <v>2022</v>
      </c>
      <c r="E284" s="1" t="str">
        <f t="shared" si="3"/>
        <v>At Constant 2018 Prices</v>
      </c>
      <c r="F284" s="3">
        <v>1.7084591E7</v>
      </c>
    </row>
    <row r="285" ht="15.75" customHeight="1">
      <c r="A285" s="1" t="str">
        <f t="array" ref="A285">INDEX(Reference!$A$2:$A$18, INT((ROW()-2)/(18*3*2)) + 1)</f>
        <v>Cagayan Valley</v>
      </c>
      <c r="B285" s="2" t="str">
        <f t="array" ref="B285">INDEX(Reference!$C$2:$C$19, MOD(ROW()-2, 18) + 1)</f>
        <v>....Professional and business services</v>
      </c>
      <c r="C285" s="1" t="str">
        <f t="shared" si="1"/>
        <v>Sub</v>
      </c>
      <c r="D285" s="1">
        <f t="shared" si="2"/>
        <v>2022</v>
      </c>
      <c r="E285" s="1" t="str">
        <f t="shared" si="3"/>
        <v>At Constant 2018 Prices</v>
      </c>
      <c r="F285" s="3">
        <v>3030721.0</v>
      </c>
    </row>
    <row r="286" ht="15.75" customHeight="1">
      <c r="A286" s="1" t="str">
        <f t="array" ref="A286">INDEX(Reference!$A$2:$A$18, INT((ROW()-2)/(18*3*2)) + 1)</f>
        <v>Cagayan Valley</v>
      </c>
      <c r="B286" s="2" t="str">
        <f t="array" ref="B286">INDEX(Reference!$C$2:$C$19, MOD(ROW()-2, 18) + 1)</f>
        <v>....Public administration and defense; compulsory social activities</v>
      </c>
      <c r="C286" s="1" t="str">
        <f t="shared" si="1"/>
        <v>Sub</v>
      </c>
      <c r="D286" s="1">
        <f t="shared" si="2"/>
        <v>2022</v>
      </c>
      <c r="E286" s="1" t="str">
        <f t="shared" si="3"/>
        <v>At Constant 2018 Prices</v>
      </c>
      <c r="F286" s="3">
        <v>1.2915741E7</v>
      </c>
    </row>
    <row r="287" ht="15.75" customHeight="1">
      <c r="A287" s="1" t="str">
        <f t="array" ref="A287">INDEX(Reference!$A$2:$A$18, INT((ROW()-2)/(18*3*2)) + 1)</f>
        <v>Cagayan Valley</v>
      </c>
      <c r="B287" s="2" t="str">
        <f t="array" ref="B287">INDEX(Reference!$C$2:$C$19, MOD(ROW()-2, 18) + 1)</f>
        <v>....Education</v>
      </c>
      <c r="C287" s="1" t="str">
        <f t="shared" si="1"/>
        <v>Sub</v>
      </c>
      <c r="D287" s="1">
        <f t="shared" si="2"/>
        <v>2022</v>
      </c>
      <c r="E287" s="1" t="str">
        <f t="shared" si="3"/>
        <v>At Constant 2018 Prices</v>
      </c>
      <c r="F287" s="3">
        <v>2.9525238E7</v>
      </c>
    </row>
    <row r="288" ht="15.75" customHeight="1">
      <c r="A288" s="1" t="str">
        <f t="array" ref="A288">INDEX(Reference!$A$2:$A$18, INT((ROW()-2)/(18*3*2)) + 1)</f>
        <v>Cagayan Valley</v>
      </c>
      <c r="B288" s="2" t="str">
        <f t="array" ref="B288">INDEX(Reference!$C$2:$C$19, MOD(ROW()-2, 18) + 1)</f>
        <v>....Human health and social work activities</v>
      </c>
      <c r="C288" s="1" t="str">
        <f t="shared" si="1"/>
        <v>Sub</v>
      </c>
      <c r="D288" s="1">
        <f t="shared" si="2"/>
        <v>2022</v>
      </c>
      <c r="E288" s="1" t="str">
        <f t="shared" si="3"/>
        <v>At Constant 2018 Prices</v>
      </c>
      <c r="F288" s="3">
        <v>1.0308549E7</v>
      </c>
    </row>
    <row r="289" ht="15.75" customHeight="1">
      <c r="A289" s="1" t="str">
        <f t="array" ref="A289">INDEX(Reference!$A$2:$A$18, INT((ROW()-2)/(18*3*2)) + 1)</f>
        <v>Cagayan Valley</v>
      </c>
      <c r="B289" s="2" t="str">
        <f t="array" ref="B289">INDEX(Reference!$C$2:$C$19, MOD(ROW()-2, 18) + 1)</f>
        <v>....Other services</v>
      </c>
      <c r="C289" s="1" t="str">
        <f t="shared" si="1"/>
        <v>Sub</v>
      </c>
      <c r="D289" s="1">
        <f t="shared" si="2"/>
        <v>2022</v>
      </c>
      <c r="E289" s="1" t="str">
        <f t="shared" si="3"/>
        <v>At Constant 2018 Prices</v>
      </c>
      <c r="F289" s="3">
        <v>1977383.0</v>
      </c>
    </row>
    <row r="290" ht="15.75" customHeight="1">
      <c r="A290" s="1" t="str">
        <f t="array" ref="A290">INDEX(Reference!$A$2:$A$18, INT((ROW()-2)/(18*3*2)) + 1)</f>
        <v>Cagayan Valley</v>
      </c>
      <c r="B290" s="2" t="str">
        <f t="array" ref="B290">INDEX(Reference!$C$2:$C$19, MOD(ROW()-2, 18) + 1)</f>
        <v>..Agriculture, forestry, and fishing</v>
      </c>
      <c r="C290" s="1" t="str">
        <f t="shared" si="1"/>
        <v>Main</v>
      </c>
      <c r="D290" s="1">
        <f t="shared" si="2"/>
        <v>2023</v>
      </c>
      <c r="E290" s="1" t="str">
        <f t="shared" si="3"/>
        <v>At Constant 2018 Prices</v>
      </c>
      <c r="F290" s="3">
        <v>1.2009691E8</v>
      </c>
    </row>
    <row r="291" ht="15.75" customHeight="1">
      <c r="A291" s="1" t="str">
        <f t="array" ref="A291">INDEX(Reference!$A$2:$A$18, INT((ROW()-2)/(18*3*2)) + 1)</f>
        <v>Cagayan Valley</v>
      </c>
      <c r="B291" s="2" t="str">
        <f t="array" ref="B291">INDEX(Reference!$C$2:$C$19, MOD(ROW()-2, 18) + 1)</f>
        <v>..Industry</v>
      </c>
      <c r="C291" s="1" t="str">
        <f t="shared" si="1"/>
        <v>Main</v>
      </c>
      <c r="D291" s="1">
        <f t="shared" si="2"/>
        <v>2023</v>
      </c>
      <c r="E291" s="1" t="str">
        <f t="shared" si="3"/>
        <v>At Constant 2018 Prices</v>
      </c>
      <c r="F291" s="3">
        <v>1.27441265E8</v>
      </c>
    </row>
    <row r="292" ht="15.75" customHeight="1">
      <c r="A292" s="1" t="str">
        <f t="array" ref="A292">INDEX(Reference!$A$2:$A$18, INT((ROW()-2)/(18*3*2)) + 1)</f>
        <v>Cagayan Valley</v>
      </c>
      <c r="B292" s="2" t="str">
        <f t="array" ref="B292">INDEX(Reference!$C$2:$C$19, MOD(ROW()-2, 18) + 1)</f>
        <v>....Mining and quarrying</v>
      </c>
      <c r="C292" s="1" t="str">
        <f t="shared" si="1"/>
        <v>Sub</v>
      </c>
      <c r="D292" s="1">
        <f t="shared" si="2"/>
        <v>2023</v>
      </c>
      <c r="E292" s="1" t="str">
        <f t="shared" si="3"/>
        <v>At Constant 2018 Prices</v>
      </c>
      <c r="F292" s="3">
        <v>1.2439043E7</v>
      </c>
    </row>
    <row r="293" ht="15.75" customHeight="1">
      <c r="A293" s="1" t="str">
        <f t="array" ref="A293">INDEX(Reference!$A$2:$A$18, INT((ROW()-2)/(18*3*2)) + 1)</f>
        <v>Cagayan Valley</v>
      </c>
      <c r="B293" s="2" t="str">
        <f t="array" ref="B293">INDEX(Reference!$C$2:$C$19, MOD(ROW()-2, 18) + 1)</f>
        <v>....Manufacturing</v>
      </c>
      <c r="C293" s="1" t="str">
        <f t="shared" si="1"/>
        <v>Sub</v>
      </c>
      <c r="D293" s="1">
        <f t="shared" si="2"/>
        <v>2023</v>
      </c>
      <c r="E293" s="1" t="str">
        <f t="shared" si="3"/>
        <v>At Constant 2018 Prices</v>
      </c>
      <c r="F293" s="3">
        <v>4.0898722E7</v>
      </c>
    </row>
    <row r="294" ht="15.75" customHeight="1">
      <c r="A294" s="1" t="str">
        <f t="array" ref="A294">INDEX(Reference!$A$2:$A$18, INT((ROW()-2)/(18*3*2)) + 1)</f>
        <v>Cagayan Valley</v>
      </c>
      <c r="B294" s="2" t="str">
        <f t="array" ref="B294">INDEX(Reference!$C$2:$C$19, MOD(ROW()-2, 18) + 1)</f>
        <v>....Electricity, steam, water and waste management</v>
      </c>
      <c r="C294" s="1" t="str">
        <f t="shared" si="1"/>
        <v>Sub</v>
      </c>
      <c r="D294" s="1">
        <f t="shared" si="2"/>
        <v>2023</v>
      </c>
      <c r="E294" s="1" t="str">
        <f t="shared" si="3"/>
        <v>At Constant 2018 Prices</v>
      </c>
      <c r="F294" s="3">
        <v>1.2572322E7</v>
      </c>
    </row>
    <row r="295" ht="15.75" customHeight="1">
      <c r="A295" s="1" t="str">
        <f t="array" ref="A295">INDEX(Reference!$A$2:$A$18, INT((ROW()-2)/(18*3*2)) + 1)</f>
        <v>Cagayan Valley</v>
      </c>
      <c r="B295" s="2" t="str">
        <f t="array" ref="B295">INDEX(Reference!$C$2:$C$19, MOD(ROW()-2, 18) + 1)</f>
        <v>....Construction</v>
      </c>
      <c r="C295" s="1" t="str">
        <f t="shared" si="1"/>
        <v>Sub</v>
      </c>
      <c r="D295" s="1">
        <f t="shared" si="2"/>
        <v>2023</v>
      </c>
      <c r="E295" s="1" t="str">
        <f t="shared" si="3"/>
        <v>At Constant 2018 Prices</v>
      </c>
      <c r="F295" s="3">
        <v>6.1531178E7</v>
      </c>
    </row>
    <row r="296" ht="15.75" customHeight="1">
      <c r="A296" s="1" t="str">
        <f t="array" ref="A296">INDEX(Reference!$A$2:$A$18, INT((ROW()-2)/(18*3*2)) + 1)</f>
        <v>Cagayan Valley</v>
      </c>
      <c r="B296" s="2" t="str">
        <f t="array" ref="B296">INDEX(Reference!$C$2:$C$19, MOD(ROW()-2, 18) + 1)</f>
        <v>..Services</v>
      </c>
      <c r="C296" s="1" t="str">
        <f t="shared" si="1"/>
        <v>Main</v>
      </c>
      <c r="D296" s="1">
        <f t="shared" si="2"/>
        <v>2023</v>
      </c>
      <c r="E296" s="1" t="str">
        <f t="shared" si="3"/>
        <v>At Constant 2018 Prices</v>
      </c>
      <c r="F296" s="3">
        <v>1.99348492E8</v>
      </c>
    </row>
    <row r="297" ht="15.75" customHeight="1">
      <c r="A297" s="1" t="str">
        <f t="array" ref="A297">INDEX(Reference!$A$2:$A$18, INT((ROW()-2)/(18*3*2)) + 1)</f>
        <v>Cagayan Valley</v>
      </c>
      <c r="B297" s="2" t="str">
        <f t="array" ref="B297">INDEX(Reference!$C$2:$C$19, MOD(ROW()-2, 18) + 1)</f>
        <v>....Wholesale and retail trade; repair of motor vehicles and motorcycles</v>
      </c>
      <c r="C297" s="1" t="str">
        <f t="shared" si="1"/>
        <v>Sub</v>
      </c>
      <c r="D297" s="1">
        <f t="shared" si="2"/>
        <v>2023</v>
      </c>
      <c r="E297" s="1" t="str">
        <f t="shared" si="3"/>
        <v>At Constant 2018 Prices</v>
      </c>
      <c r="F297" s="3">
        <v>5.9226722E7</v>
      </c>
    </row>
    <row r="298" ht="15.75" customHeight="1">
      <c r="A298" s="1" t="str">
        <f t="array" ref="A298">INDEX(Reference!$A$2:$A$18, INT((ROW()-2)/(18*3*2)) + 1)</f>
        <v>Cagayan Valley</v>
      </c>
      <c r="B298" s="2" t="str">
        <f t="array" ref="B298">INDEX(Reference!$C$2:$C$19, MOD(ROW()-2, 18) + 1)</f>
        <v>....Transportation and storage</v>
      </c>
      <c r="C298" s="1" t="str">
        <f t="shared" si="1"/>
        <v>Sub</v>
      </c>
      <c r="D298" s="1">
        <f t="shared" si="2"/>
        <v>2023</v>
      </c>
      <c r="E298" s="1" t="str">
        <f t="shared" si="3"/>
        <v>At Constant 2018 Prices</v>
      </c>
      <c r="F298" s="3">
        <v>2.0284147E7</v>
      </c>
    </row>
    <row r="299" ht="15.75" customHeight="1">
      <c r="A299" s="1" t="str">
        <f t="array" ref="A299">INDEX(Reference!$A$2:$A$18, INT((ROW()-2)/(18*3*2)) + 1)</f>
        <v>Cagayan Valley</v>
      </c>
      <c r="B299" s="2" t="str">
        <f t="array" ref="B299">INDEX(Reference!$C$2:$C$19, MOD(ROW()-2, 18) + 1)</f>
        <v>....Accommodation and food service activities</v>
      </c>
      <c r="C299" s="1" t="str">
        <f t="shared" si="1"/>
        <v>Sub</v>
      </c>
      <c r="D299" s="1">
        <f t="shared" si="2"/>
        <v>2023</v>
      </c>
      <c r="E299" s="1" t="str">
        <f t="shared" si="3"/>
        <v>At Constant 2018 Prices</v>
      </c>
      <c r="F299" s="3">
        <v>7222301.0</v>
      </c>
    </row>
    <row r="300" ht="15.75" customHeight="1">
      <c r="A300" s="1" t="str">
        <f t="array" ref="A300">INDEX(Reference!$A$2:$A$18, INT((ROW()-2)/(18*3*2)) + 1)</f>
        <v>Cagayan Valley</v>
      </c>
      <c r="B300" s="2" t="str">
        <f t="array" ref="B300">INDEX(Reference!$C$2:$C$19, MOD(ROW()-2, 18) + 1)</f>
        <v>....Information and communication</v>
      </c>
      <c r="C300" s="1" t="str">
        <f t="shared" si="1"/>
        <v>Sub</v>
      </c>
      <c r="D300" s="1">
        <f t="shared" si="2"/>
        <v>2023</v>
      </c>
      <c r="E300" s="1" t="str">
        <f t="shared" si="3"/>
        <v>At Constant 2018 Prices</v>
      </c>
      <c r="F300" s="3">
        <v>1.8500493E7</v>
      </c>
    </row>
    <row r="301" ht="15.75" customHeight="1">
      <c r="A301" s="1" t="str">
        <f t="array" ref="A301">INDEX(Reference!$A$2:$A$18, INT((ROW()-2)/(18*3*2)) + 1)</f>
        <v>Cagayan Valley</v>
      </c>
      <c r="B301" s="2" t="str">
        <f t="array" ref="B301">INDEX(Reference!$C$2:$C$19, MOD(ROW()-2, 18) + 1)</f>
        <v>....Financial and insurance activities</v>
      </c>
      <c r="C301" s="1" t="str">
        <f t="shared" si="1"/>
        <v>Sub</v>
      </c>
      <c r="D301" s="1">
        <f t="shared" si="2"/>
        <v>2023</v>
      </c>
      <c r="E301" s="1" t="str">
        <f t="shared" si="3"/>
        <v>At Constant 2018 Prices</v>
      </c>
      <c r="F301" s="3">
        <v>1.5315883E7</v>
      </c>
    </row>
    <row r="302" ht="15.75" customHeight="1">
      <c r="A302" s="1" t="str">
        <f t="array" ref="A302">INDEX(Reference!$A$2:$A$18, INT((ROW()-2)/(18*3*2)) + 1)</f>
        <v>Cagayan Valley</v>
      </c>
      <c r="B302" s="2" t="str">
        <f t="array" ref="B302">INDEX(Reference!$C$2:$C$19, MOD(ROW()-2, 18) + 1)</f>
        <v>....Real estate and ownership of dwellings</v>
      </c>
      <c r="C302" s="1" t="str">
        <f t="shared" si="1"/>
        <v>Sub</v>
      </c>
      <c r="D302" s="1">
        <f t="shared" si="2"/>
        <v>2023</v>
      </c>
      <c r="E302" s="1" t="str">
        <f t="shared" si="3"/>
        <v>At Constant 2018 Prices</v>
      </c>
      <c r="F302" s="3">
        <v>1.7844175E7</v>
      </c>
    </row>
    <row r="303" ht="15.75" customHeight="1">
      <c r="A303" s="1" t="str">
        <f t="array" ref="A303">INDEX(Reference!$A$2:$A$18, INT((ROW()-2)/(18*3*2)) + 1)</f>
        <v>Cagayan Valley</v>
      </c>
      <c r="B303" s="2" t="str">
        <f t="array" ref="B303">INDEX(Reference!$C$2:$C$19, MOD(ROW()-2, 18) + 1)</f>
        <v>....Professional and business services</v>
      </c>
      <c r="C303" s="1" t="str">
        <f t="shared" si="1"/>
        <v>Sub</v>
      </c>
      <c r="D303" s="1">
        <f t="shared" si="2"/>
        <v>2023</v>
      </c>
      <c r="E303" s="1" t="str">
        <f t="shared" si="3"/>
        <v>At Constant 2018 Prices</v>
      </c>
      <c r="F303" s="3">
        <v>3358330.0</v>
      </c>
    </row>
    <row r="304" ht="15.75" customHeight="1">
      <c r="A304" s="1" t="str">
        <f t="array" ref="A304">INDEX(Reference!$A$2:$A$18, INT((ROW()-2)/(18*3*2)) + 1)</f>
        <v>Cagayan Valley</v>
      </c>
      <c r="B304" s="2" t="str">
        <f t="array" ref="B304">INDEX(Reference!$C$2:$C$19, MOD(ROW()-2, 18) + 1)</f>
        <v>....Public administration and defense; compulsory social activities</v>
      </c>
      <c r="C304" s="1" t="str">
        <f t="shared" si="1"/>
        <v>Sub</v>
      </c>
      <c r="D304" s="1">
        <f t="shared" si="2"/>
        <v>2023</v>
      </c>
      <c r="E304" s="1" t="str">
        <f t="shared" si="3"/>
        <v>At Constant 2018 Prices</v>
      </c>
      <c r="F304" s="3">
        <v>1.3571929E7</v>
      </c>
    </row>
    <row r="305" ht="15.75" customHeight="1">
      <c r="A305" s="1" t="str">
        <f t="array" ref="A305">INDEX(Reference!$A$2:$A$18, INT((ROW()-2)/(18*3*2)) + 1)</f>
        <v>Cagayan Valley</v>
      </c>
      <c r="B305" s="2" t="str">
        <f t="array" ref="B305">INDEX(Reference!$C$2:$C$19, MOD(ROW()-2, 18) + 1)</f>
        <v>....Education</v>
      </c>
      <c r="C305" s="1" t="str">
        <f t="shared" si="1"/>
        <v>Sub</v>
      </c>
      <c r="D305" s="1">
        <f t="shared" si="2"/>
        <v>2023</v>
      </c>
      <c r="E305" s="1" t="str">
        <f t="shared" si="3"/>
        <v>At Constant 2018 Prices</v>
      </c>
      <c r="F305" s="3">
        <v>3.0694822E7</v>
      </c>
    </row>
    <row r="306" ht="15.75" customHeight="1">
      <c r="A306" s="1" t="str">
        <f t="array" ref="A306">INDEX(Reference!$A$2:$A$18, INT((ROW()-2)/(18*3*2)) + 1)</f>
        <v>Cagayan Valley</v>
      </c>
      <c r="B306" s="2" t="str">
        <f t="array" ref="B306">INDEX(Reference!$C$2:$C$19, MOD(ROW()-2, 18) + 1)</f>
        <v>....Human health and social work activities</v>
      </c>
      <c r="C306" s="1" t="str">
        <f t="shared" si="1"/>
        <v>Sub</v>
      </c>
      <c r="D306" s="1">
        <f t="shared" si="2"/>
        <v>2023</v>
      </c>
      <c r="E306" s="1" t="str">
        <f t="shared" si="3"/>
        <v>At Constant 2018 Prices</v>
      </c>
      <c r="F306" s="3">
        <v>1.0991354E7</v>
      </c>
    </row>
    <row r="307" ht="15.75" customHeight="1">
      <c r="A307" s="1" t="str">
        <f t="array" ref="A307">INDEX(Reference!$A$2:$A$18, INT((ROW()-2)/(18*3*2)) + 1)</f>
        <v>Cagayan Valley</v>
      </c>
      <c r="B307" s="2" t="str">
        <f t="array" ref="B307">INDEX(Reference!$C$2:$C$19, MOD(ROW()-2, 18) + 1)</f>
        <v>....Other services</v>
      </c>
      <c r="C307" s="1" t="str">
        <f t="shared" si="1"/>
        <v>Sub</v>
      </c>
      <c r="D307" s="1">
        <f t="shared" si="2"/>
        <v>2023</v>
      </c>
      <c r="E307" s="1" t="str">
        <f t="shared" si="3"/>
        <v>At Constant 2018 Prices</v>
      </c>
      <c r="F307" s="3">
        <v>2338337.0</v>
      </c>
    </row>
    <row r="308" ht="15.75" customHeight="1">
      <c r="A308" s="1" t="str">
        <f t="array" ref="A308">INDEX(Reference!$A$2:$A$18, INT((ROW()-2)/(18*3*2)) + 1)</f>
        <v>Cagayan Valley</v>
      </c>
      <c r="B308" s="2" t="str">
        <f t="array" ref="B308">INDEX(Reference!$C$2:$C$19, MOD(ROW()-2, 18) + 1)</f>
        <v>..Agriculture, forestry, and fishing</v>
      </c>
      <c r="C308" s="1" t="str">
        <f t="shared" si="1"/>
        <v>Main</v>
      </c>
      <c r="D308" s="1">
        <f t="shared" si="2"/>
        <v>2024</v>
      </c>
      <c r="E308" s="1" t="str">
        <f t="shared" si="3"/>
        <v>At Constant 2018 Prices</v>
      </c>
      <c r="F308" s="3">
        <v>1.19100783E8</v>
      </c>
    </row>
    <row r="309" ht="15.75" customHeight="1">
      <c r="A309" s="1" t="str">
        <f t="array" ref="A309">INDEX(Reference!$A$2:$A$18, INT((ROW()-2)/(18*3*2)) + 1)</f>
        <v>Cagayan Valley</v>
      </c>
      <c r="B309" s="2" t="str">
        <f t="array" ref="B309">INDEX(Reference!$C$2:$C$19, MOD(ROW()-2, 18) + 1)</f>
        <v>..Industry</v>
      </c>
      <c r="C309" s="1" t="str">
        <f t="shared" si="1"/>
        <v>Main</v>
      </c>
      <c r="D309" s="1">
        <f t="shared" si="2"/>
        <v>2024</v>
      </c>
      <c r="E309" s="1" t="str">
        <f t="shared" si="3"/>
        <v>At Constant 2018 Prices</v>
      </c>
      <c r="F309" s="3">
        <v>1.39789685E8</v>
      </c>
    </row>
    <row r="310" ht="15.75" customHeight="1">
      <c r="A310" s="1" t="str">
        <f t="array" ref="A310">INDEX(Reference!$A$2:$A$18, INT((ROW()-2)/(18*3*2)) + 1)</f>
        <v>Cagayan Valley</v>
      </c>
      <c r="B310" s="2" t="str">
        <f t="array" ref="B310">INDEX(Reference!$C$2:$C$19, MOD(ROW()-2, 18) + 1)</f>
        <v>....Mining and quarrying</v>
      </c>
      <c r="C310" s="1" t="str">
        <f t="shared" si="1"/>
        <v>Sub</v>
      </c>
      <c r="D310" s="1">
        <f t="shared" si="2"/>
        <v>2024</v>
      </c>
      <c r="E310" s="1" t="str">
        <f t="shared" si="3"/>
        <v>At Constant 2018 Prices</v>
      </c>
      <c r="F310" s="3">
        <v>1.1576249E7</v>
      </c>
    </row>
    <row r="311" ht="15.75" customHeight="1">
      <c r="A311" s="1" t="str">
        <f t="array" ref="A311">INDEX(Reference!$A$2:$A$18, INT((ROW()-2)/(18*3*2)) + 1)</f>
        <v>Cagayan Valley</v>
      </c>
      <c r="B311" s="2" t="str">
        <f t="array" ref="B311">INDEX(Reference!$C$2:$C$19, MOD(ROW()-2, 18) + 1)</f>
        <v>....Manufacturing</v>
      </c>
      <c r="C311" s="1" t="str">
        <f t="shared" si="1"/>
        <v>Sub</v>
      </c>
      <c r="D311" s="1">
        <f t="shared" si="2"/>
        <v>2024</v>
      </c>
      <c r="E311" s="1" t="str">
        <f t="shared" si="3"/>
        <v>At Constant 2018 Prices</v>
      </c>
      <c r="F311" s="3">
        <v>4.3347162E7</v>
      </c>
    </row>
    <row r="312" ht="15.75" customHeight="1">
      <c r="A312" s="1" t="str">
        <f t="array" ref="A312">INDEX(Reference!$A$2:$A$18, INT((ROW()-2)/(18*3*2)) + 1)</f>
        <v>Cagayan Valley</v>
      </c>
      <c r="B312" s="2" t="str">
        <f t="array" ref="B312">INDEX(Reference!$C$2:$C$19, MOD(ROW()-2, 18) + 1)</f>
        <v>....Electricity, steam, water and waste management</v>
      </c>
      <c r="C312" s="1" t="str">
        <f t="shared" si="1"/>
        <v>Sub</v>
      </c>
      <c r="D312" s="1">
        <f t="shared" si="2"/>
        <v>2024</v>
      </c>
      <c r="E312" s="1" t="str">
        <f t="shared" si="3"/>
        <v>At Constant 2018 Prices</v>
      </c>
      <c r="F312" s="3">
        <v>1.3353346E7</v>
      </c>
    </row>
    <row r="313" ht="15.75" customHeight="1">
      <c r="A313" s="1" t="str">
        <f t="array" ref="A313">INDEX(Reference!$A$2:$A$18, INT((ROW()-2)/(18*3*2)) + 1)</f>
        <v>Cagayan Valley</v>
      </c>
      <c r="B313" s="2" t="str">
        <f t="array" ref="B313">INDEX(Reference!$C$2:$C$19, MOD(ROW()-2, 18) + 1)</f>
        <v>....Construction</v>
      </c>
      <c r="C313" s="1" t="str">
        <f t="shared" si="1"/>
        <v>Sub</v>
      </c>
      <c r="D313" s="1">
        <f t="shared" si="2"/>
        <v>2024</v>
      </c>
      <c r="E313" s="1" t="str">
        <f t="shared" si="3"/>
        <v>At Constant 2018 Prices</v>
      </c>
      <c r="F313" s="3">
        <v>7.1512928E7</v>
      </c>
    </row>
    <row r="314" ht="15.75" customHeight="1">
      <c r="A314" s="1" t="str">
        <f t="array" ref="A314">INDEX(Reference!$A$2:$A$18, INT((ROW()-2)/(18*3*2)) + 1)</f>
        <v>Cagayan Valley</v>
      </c>
      <c r="B314" s="2" t="str">
        <f t="array" ref="B314">INDEX(Reference!$C$2:$C$19, MOD(ROW()-2, 18) + 1)</f>
        <v>..Services</v>
      </c>
      <c r="C314" s="1" t="str">
        <f t="shared" si="1"/>
        <v>Main</v>
      </c>
      <c r="D314" s="1">
        <f t="shared" si="2"/>
        <v>2024</v>
      </c>
      <c r="E314" s="1" t="str">
        <f t="shared" si="3"/>
        <v>At Constant 2018 Prices</v>
      </c>
      <c r="F314" s="3">
        <v>2.11826734E8</v>
      </c>
    </row>
    <row r="315" ht="15.75" customHeight="1">
      <c r="A315" s="1" t="str">
        <f t="array" ref="A315">INDEX(Reference!$A$2:$A$18, INT((ROW()-2)/(18*3*2)) + 1)</f>
        <v>Cagayan Valley</v>
      </c>
      <c r="B315" s="2" t="str">
        <f t="array" ref="B315">INDEX(Reference!$C$2:$C$19, MOD(ROW()-2, 18) + 1)</f>
        <v>....Wholesale and retail trade; repair of motor vehicles and motorcycles</v>
      </c>
      <c r="C315" s="1" t="str">
        <f t="shared" si="1"/>
        <v>Sub</v>
      </c>
      <c r="D315" s="1">
        <f t="shared" si="2"/>
        <v>2024</v>
      </c>
      <c r="E315" s="1" t="str">
        <f t="shared" si="3"/>
        <v>At Constant 2018 Prices</v>
      </c>
      <c r="F315" s="3">
        <v>6.1960095E7</v>
      </c>
    </row>
    <row r="316" ht="15.75" customHeight="1">
      <c r="A316" s="1" t="str">
        <f t="array" ref="A316">INDEX(Reference!$A$2:$A$18, INT((ROW()-2)/(18*3*2)) + 1)</f>
        <v>Cagayan Valley</v>
      </c>
      <c r="B316" s="2" t="str">
        <f t="array" ref="B316">INDEX(Reference!$C$2:$C$19, MOD(ROW()-2, 18) + 1)</f>
        <v>....Transportation and storage</v>
      </c>
      <c r="C316" s="1" t="str">
        <f t="shared" si="1"/>
        <v>Sub</v>
      </c>
      <c r="D316" s="1">
        <f t="shared" si="2"/>
        <v>2024</v>
      </c>
      <c r="E316" s="1" t="str">
        <f t="shared" si="3"/>
        <v>At Constant 2018 Prices</v>
      </c>
      <c r="F316" s="3">
        <v>2.2220243E7</v>
      </c>
    </row>
    <row r="317" ht="15.75" customHeight="1">
      <c r="A317" s="1" t="str">
        <f t="array" ref="A317">INDEX(Reference!$A$2:$A$18, INT((ROW()-2)/(18*3*2)) + 1)</f>
        <v>Cagayan Valley</v>
      </c>
      <c r="B317" s="2" t="str">
        <f t="array" ref="B317">INDEX(Reference!$C$2:$C$19, MOD(ROW()-2, 18) + 1)</f>
        <v>....Accommodation and food service activities</v>
      </c>
      <c r="C317" s="1" t="str">
        <f t="shared" si="1"/>
        <v>Sub</v>
      </c>
      <c r="D317" s="1">
        <f t="shared" si="2"/>
        <v>2024</v>
      </c>
      <c r="E317" s="1" t="str">
        <f t="shared" si="3"/>
        <v>At Constant 2018 Prices</v>
      </c>
      <c r="F317" s="3">
        <v>8024933.0</v>
      </c>
    </row>
    <row r="318" ht="15.75" customHeight="1">
      <c r="A318" s="1" t="str">
        <f t="array" ref="A318">INDEX(Reference!$A$2:$A$18, INT((ROW()-2)/(18*3*2)) + 1)</f>
        <v>Cagayan Valley</v>
      </c>
      <c r="B318" s="2" t="str">
        <f t="array" ref="B318">INDEX(Reference!$C$2:$C$19, MOD(ROW()-2, 18) + 1)</f>
        <v>....Information and communication</v>
      </c>
      <c r="C318" s="1" t="str">
        <f t="shared" si="1"/>
        <v>Sub</v>
      </c>
      <c r="D318" s="1">
        <f t="shared" si="2"/>
        <v>2024</v>
      </c>
      <c r="E318" s="1" t="str">
        <f t="shared" si="3"/>
        <v>At Constant 2018 Prices</v>
      </c>
      <c r="F318" s="3">
        <v>1.9248165E7</v>
      </c>
    </row>
    <row r="319" ht="15.75" customHeight="1">
      <c r="A319" s="1" t="str">
        <f t="array" ref="A319">INDEX(Reference!$A$2:$A$18, INT((ROW()-2)/(18*3*2)) + 1)</f>
        <v>Cagayan Valley</v>
      </c>
      <c r="B319" s="2" t="str">
        <f t="array" ref="B319">INDEX(Reference!$C$2:$C$19, MOD(ROW()-2, 18) + 1)</f>
        <v>....Financial and insurance activities</v>
      </c>
      <c r="C319" s="1" t="str">
        <f t="shared" si="1"/>
        <v>Sub</v>
      </c>
      <c r="D319" s="1">
        <f t="shared" si="2"/>
        <v>2024</v>
      </c>
      <c r="E319" s="1" t="str">
        <f t="shared" si="3"/>
        <v>At Constant 2018 Prices</v>
      </c>
      <c r="F319" s="3">
        <v>1.6765098E7</v>
      </c>
    </row>
    <row r="320" ht="15.75" customHeight="1">
      <c r="A320" s="1" t="str">
        <f t="array" ref="A320">INDEX(Reference!$A$2:$A$18, INT((ROW()-2)/(18*3*2)) + 1)</f>
        <v>Cagayan Valley</v>
      </c>
      <c r="B320" s="2" t="str">
        <f t="array" ref="B320">INDEX(Reference!$C$2:$C$19, MOD(ROW()-2, 18) + 1)</f>
        <v>....Real estate and ownership of dwellings</v>
      </c>
      <c r="C320" s="1" t="str">
        <f t="shared" si="1"/>
        <v>Sub</v>
      </c>
      <c r="D320" s="1">
        <f t="shared" si="2"/>
        <v>2024</v>
      </c>
      <c r="E320" s="1" t="str">
        <f t="shared" si="3"/>
        <v>At Constant 2018 Prices</v>
      </c>
      <c r="F320" s="3">
        <v>1.8977214E7</v>
      </c>
    </row>
    <row r="321" ht="15.75" customHeight="1">
      <c r="A321" s="1" t="str">
        <f t="array" ref="A321">INDEX(Reference!$A$2:$A$18, INT((ROW()-2)/(18*3*2)) + 1)</f>
        <v>Cagayan Valley</v>
      </c>
      <c r="B321" s="2" t="str">
        <f t="array" ref="B321">INDEX(Reference!$C$2:$C$19, MOD(ROW()-2, 18) + 1)</f>
        <v>....Professional and business services</v>
      </c>
      <c r="C321" s="1" t="str">
        <f t="shared" si="1"/>
        <v>Sub</v>
      </c>
      <c r="D321" s="1">
        <f t="shared" si="2"/>
        <v>2024</v>
      </c>
      <c r="E321" s="1" t="str">
        <f t="shared" si="3"/>
        <v>At Constant 2018 Prices</v>
      </c>
      <c r="F321" s="3">
        <v>3866711.0</v>
      </c>
    </row>
    <row r="322" ht="15.75" customHeight="1">
      <c r="A322" s="1" t="str">
        <f t="array" ref="A322">INDEX(Reference!$A$2:$A$18, INT((ROW()-2)/(18*3*2)) + 1)</f>
        <v>Cagayan Valley</v>
      </c>
      <c r="B322" s="2" t="str">
        <f t="array" ref="B322">INDEX(Reference!$C$2:$C$19, MOD(ROW()-2, 18) + 1)</f>
        <v>....Public administration and defense; compulsory social activities</v>
      </c>
      <c r="C322" s="1" t="str">
        <f t="shared" si="1"/>
        <v>Sub</v>
      </c>
      <c r="D322" s="1">
        <f t="shared" si="2"/>
        <v>2024</v>
      </c>
      <c r="E322" s="1" t="str">
        <f t="shared" si="3"/>
        <v>At Constant 2018 Prices</v>
      </c>
      <c r="F322" s="3">
        <v>1.4491645E7</v>
      </c>
    </row>
    <row r="323" ht="15.75" customHeight="1">
      <c r="A323" s="1" t="str">
        <f t="array" ref="A323">INDEX(Reference!$A$2:$A$18, INT((ROW()-2)/(18*3*2)) + 1)</f>
        <v>Cagayan Valley</v>
      </c>
      <c r="B323" s="2" t="str">
        <f t="array" ref="B323">INDEX(Reference!$C$2:$C$19, MOD(ROW()-2, 18) + 1)</f>
        <v>....Education</v>
      </c>
      <c r="C323" s="1" t="str">
        <f t="shared" si="1"/>
        <v>Sub</v>
      </c>
      <c r="D323" s="1">
        <f t="shared" si="2"/>
        <v>2024</v>
      </c>
      <c r="E323" s="1" t="str">
        <f t="shared" si="3"/>
        <v>At Constant 2018 Prices</v>
      </c>
      <c r="F323" s="3">
        <v>3.1429338E7</v>
      </c>
    </row>
    <row r="324" ht="15.75" customHeight="1">
      <c r="A324" s="1" t="str">
        <f t="array" ref="A324">INDEX(Reference!$A$2:$A$18, INT((ROW()-2)/(18*3*2)) + 1)</f>
        <v>Cagayan Valley</v>
      </c>
      <c r="B324" s="2" t="str">
        <f t="array" ref="B324">INDEX(Reference!$C$2:$C$19, MOD(ROW()-2, 18) + 1)</f>
        <v>....Human health and social work activities</v>
      </c>
      <c r="C324" s="1" t="str">
        <f t="shared" si="1"/>
        <v>Sub</v>
      </c>
      <c r="D324" s="1">
        <f t="shared" si="2"/>
        <v>2024</v>
      </c>
      <c r="E324" s="1" t="str">
        <f t="shared" si="3"/>
        <v>At Constant 2018 Prices</v>
      </c>
      <c r="F324" s="3">
        <v>1.2344353E7</v>
      </c>
    </row>
    <row r="325" ht="15.75" customHeight="1">
      <c r="A325" s="1" t="str">
        <f t="array" ref="A325">INDEX(Reference!$A$2:$A$18, INT((ROW()-2)/(18*3*2)) + 1)</f>
        <v>Cagayan Valley</v>
      </c>
      <c r="B325" s="2" t="str">
        <f t="array" ref="B325">INDEX(Reference!$C$2:$C$19, MOD(ROW()-2, 18) + 1)</f>
        <v>....Other services</v>
      </c>
      <c r="C325" s="1" t="str">
        <f t="shared" si="1"/>
        <v>Sub</v>
      </c>
      <c r="D325" s="1">
        <f t="shared" si="2"/>
        <v>2024</v>
      </c>
      <c r="E325" s="1" t="str">
        <f t="shared" si="3"/>
        <v>At Constant 2018 Prices</v>
      </c>
      <c r="F325" s="3">
        <v>2498940.0</v>
      </c>
    </row>
    <row r="326" ht="15.75" customHeight="1">
      <c r="A326" s="1" t="str">
        <f t="array" ref="A326">INDEX(Reference!$A$2:$A$18, INT((ROW()-2)/(18*3*2)) + 1)</f>
        <v>CALABARZON</v>
      </c>
      <c r="B326" s="2" t="str">
        <f t="array" ref="B326">INDEX(Reference!$C$2:$C$19, MOD(ROW()-2, 18) + 1)</f>
        <v>..Agriculture, forestry, and fishing</v>
      </c>
      <c r="C326" s="1" t="str">
        <f t="shared" si="1"/>
        <v>Main</v>
      </c>
      <c r="D326" s="1">
        <f t="shared" si="2"/>
        <v>2022</v>
      </c>
      <c r="E326" s="1" t="str">
        <f t="shared" si="3"/>
        <v>At Current Prices</v>
      </c>
      <c r="F326" s="3">
        <v>1.71195873E8</v>
      </c>
    </row>
    <row r="327" ht="15.75" customHeight="1">
      <c r="A327" s="1" t="str">
        <f t="array" ref="A327">INDEX(Reference!$A$2:$A$18, INT((ROW()-2)/(18*3*2)) + 1)</f>
        <v>CALABARZON</v>
      </c>
      <c r="B327" s="2" t="str">
        <f t="array" ref="B327">INDEX(Reference!$C$2:$C$19, MOD(ROW()-2, 18) + 1)</f>
        <v>..Industry</v>
      </c>
      <c r="C327" s="1" t="str">
        <f t="shared" si="1"/>
        <v>Main</v>
      </c>
      <c r="D327" s="1">
        <f t="shared" si="2"/>
        <v>2022</v>
      </c>
      <c r="E327" s="1" t="str">
        <f t="shared" si="3"/>
        <v>At Current Prices</v>
      </c>
      <c r="F327" s="3">
        <v>1.513851022E9</v>
      </c>
    </row>
    <row r="328" ht="15.75" customHeight="1">
      <c r="A328" s="1" t="str">
        <f t="array" ref="A328">INDEX(Reference!$A$2:$A$18, INT((ROW()-2)/(18*3*2)) + 1)</f>
        <v>CALABARZON</v>
      </c>
      <c r="B328" s="2" t="str">
        <f t="array" ref="B328">INDEX(Reference!$C$2:$C$19, MOD(ROW()-2, 18) + 1)</f>
        <v>....Mining and quarrying</v>
      </c>
      <c r="C328" s="1" t="str">
        <f t="shared" si="1"/>
        <v>Sub</v>
      </c>
      <c r="D328" s="1">
        <f t="shared" si="2"/>
        <v>2022</v>
      </c>
      <c r="E328" s="1" t="str">
        <f t="shared" si="3"/>
        <v>At Current Prices</v>
      </c>
      <c r="F328" s="3">
        <v>6239940.0</v>
      </c>
    </row>
    <row r="329" ht="15.75" customHeight="1">
      <c r="A329" s="1" t="str">
        <f t="array" ref="A329">INDEX(Reference!$A$2:$A$18, INT((ROW()-2)/(18*3*2)) + 1)</f>
        <v>CALABARZON</v>
      </c>
      <c r="B329" s="2" t="str">
        <f t="array" ref="B329">INDEX(Reference!$C$2:$C$19, MOD(ROW()-2, 18) + 1)</f>
        <v>....Manufacturing</v>
      </c>
      <c r="C329" s="1" t="str">
        <f t="shared" si="1"/>
        <v>Sub</v>
      </c>
      <c r="D329" s="1">
        <f t="shared" si="2"/>
        <v>2022</v>
      </c>
      <c r="E329" s="1" t="str">
        <f t="shared" si="3"/>
        <v>At Current Prices</v>
      </c>
      <c r="F329" s="3">
        <v>1.258636318E9</v>
      </c>
    </row>
    <row r="330" ht="15.75" customHeight="1">
      <c r="A330" s="1" t="str">
        <f t="array" ref="A330">INDEX(Reference!$A$2:$A$18, INT((ROW()-2)/(18*3*2)) + 1)</f>
        <v>CALABARZON</v>
      </c>
      <c r="B330" s="2" t="str">
        <f t="array" ref="B330">INDEX(Reference!$C$2:$C$19, MOD(ROW()-2, 18) + 1)</f>
        <v>....Electricity, steam, water and waste management</v>
      </c>
      <c r="C330" s="1" t="str">
        <f t="shared" si="1"/>
        <v>Sub</v>
      </c>
      <c r="D330" s="1">
        <f t="shared" si="2"/>
        <v>2022</v>
      </c>
      <c r="E330" s="1" t="str">
        <f t="shared" si="3"/>
        <v>At Current Prices</v>
      </c>
      <c r="F330" s="3">
        <v>1.36909973E8</v>
      </c>
    </row>
    <row r="331" ht="15.75" customHeight="1">
      <c r="A331" s="1" t="str">
        <f t="array" ref="A331">INDEX(Reference!$A$2:$A$18, INT((ROW()-2)/(18*3*2)) + 1)</f>
        <v>CALABARZON</v>
      </c>
      <c r="B331" s="2" t="str">
        <f t="array" ref="B331">INDEX(Reference!$C$2:$C$19, MOD(ROW()-2, 18) + 1)</f>
        <v>....Construction</v>
      </c>
      <c r="C331" s="1" t="str">
        <f t="shared" si="1"/>
        <v>Sub</v>
      </c>
      <c r="D331" s="1">
        <f t="shared" si="2"/>
        <v>2022</v>
      </c>
      <c r="E331" s="1" t="str">
        <f t="shared" si="3"/>
        <v>At Current Prices</v>
      </c>
      <c r="F331" s="3">
        <v>1.12064791E8</v>
      </c>
    </row>
    <row r="332" ht="15.75" customHeight="1">
      <c r="A332" s="1" t="str">
        <f t="array" ref="A332">INDEX(Reference!$A$2:$A$18, INT((ROW()-2)/(18*3*2)) + 1)</f>
        <v>CALABARZON</v>
      </c>
      <c r="B332" s="2" t="str">
        <f t="array" ref="B332">INDEX(Reference!$C$2:$C$19, MOD(ROW()-2, 18) + 1)</f>
        <v>..Services</v>
      </c>
      <c r="C332" s="1" t="str">
        <f t="shared" si="1"/>
        <v>Main</v>
      </c>
      <c r="D332" s="1">
        <f t="shared" si="2"/>
        <v>2022</v>
      </c>
      <c r="E332" s="1" t="str">
        <f t="shared" si="3"/>
        <v>At Current Prices</v>
      </c>
      <c r="F332" s="3">
        <v>1.455330588E9</v>
      </c>
    </row>
    <row r="333" ht="15.75" customHeight="1">
      <c r="A333" s="1" t="str">
        <f t="array" ref="A333">INDEX(Reference!$A$2:$A$18, INT((ROW()-2)/(18*3*2)) + 1)</f>
        <v>CALABARZON</v>
      </c>
      <c r="B333" s="2" t="str">
        <f t="array" ref="B333">INDEX(Reference!$C$2:$C$19, MOD(ROW()-2, 18) + 1)</f>
        <v>....Wholesale and retail trade; repair of motor vehicles and motorcycles</v>
      </c>
      <c r="C333" s="1" t="str">
        <f t="shared" si="1"/>
        <v>Sub</v>
      </c>
      <c r="D333" s="1">
        <f t="shared" si="2"/>
        <v>2022</v>
      </c>
      <c r="E333" s="1" t="str">
        <f t="shared" si="3"/>
        <v>At Current Prices</v>
      </c>
      <c r="F333" s="3">
        <v>4.20697092E8</v>
      </c>
    </row>
    <row r="334" ht="15.75" customHeight="1">
      <c r="A334" s="1" t="str">
        <f t="array" ref="A334">INDEX(Reference!$A$2:$A$18, INT((ROW()-2)/(18*3*2)) + 1)</f>
        <v>CALABARZON</v>
      </c>
      <c r="B334" s="2" t="str">
        <f t="array" ref="B334">INDEX(Reference!$C$2:$C$19, MOD(ROW()-2, 18) + 1)</f>
        <v>....Transportation and storage</v>
      </c>
      <c r="C334" s="1" t="str">
        <f t="shared" si="1"/>
        <v>Sub</v>
      </c>
      <c r="D334" s="1">
        <f t="shared" si="2"/>
        <v>2022</v>
      </c>
      <c r="E334" s="1" t="str">
        <f t="shared" si="3"/>
        <v>At Current Prices</v>
      </c>
      <c r="F334" s="3">
        <v>1.1731616E8</v>
      </c>
    </row>
    <row r="335" ht="15.75" customHeight="1">
      <c r="A335" s="1" t="str">
        <f t="array" ref="A335">INDEX(Reference!$A$2:$A$18, INT((ROW()-2)/(18*3*2)) + 1)</f>
        <v>CALABARZON</v>
      </c>
      <c r="B335" s="2" t="str">
        <f t="array" ref="B335">INDEX(Reference!$C$2:$C$19, MOD(ROW()-2, 18) + 1)</f>
        <v>....Accommodation and food service activities</v>
      </c>
      <c r="C335" s="1" t="str">
        <f t="shared" si="1"/>
        <v>Sub</v>
      </c>
      <c r="D335" s="1">
        <f t="shared" si="2"/>
        <v>2022</v>
      </c>
      <c r="E335" s="1" t="str">
        <f t="shared" si="3"/>
        <v>At Current Prices</v>
      </c>
      <c r="F335" s="3">
        <v>6.1408633E7</v>
      </c>
    </row>
    <row r="336" ht="15.75" customHeight="1">
      <c r="A336" s="1" t="str">
        <f t="array" ref="A336">INDEX(Reference!$A$2:$A$18, INT((ROW()-2)/(18*3*2)) + 1)</f>
        <v>CALABARZON</v>
      </c>
      <c r="B336" s="2" t="str">
        <f t="array" ref="B336">INDEX(Reference!$C$2:$C$19, MOD(ROW()-2, 18) + 1)</f>
        <v>....Information and communication</v>
      </c>
      <c r="C336" s="1" t="str">
        <f t="shared" si="1"/>
        <v>Sub</v>
      </c>
      <c r="D336" s="1">
        <f t="shared" si="2"/>
        <v>2022</v>
      </c>
      <c r="E336" s="1" t="str">
        <f t="shared" si="3"/>
        <v>At Current Prices</v>
      </c>
      <c r="F336" s="3">
        <v>1.29342938E8</v>
      </c>
    </row>
    <row r="337" ht="15.75" customHeight="1">
      <c r="A337" s="1" t="str">
        <f t="array" ref="A337">INDEX(Reference!$A$2:$A$18, INT((ROW()-2)/(18*3*2)) + 1)</f>
        <v>CALABARZON</v>
      </c>
      <c r="B337" s="2" t="str">
        <f t="array" ref="B337">INDEX(Reference!$C$2:$C$19, MOD(ROW()-2, 18) + 1)</f>
        <v>....Financial and insurance activities</v>
      </c>
      <c r="C337" s="1" t="str">
        <f t="shared" si="1"/>
        <v>Sub</v>
      </c>
      <c r="D337" s="1">
        <f t="shared" si="2"/>
        <v>2022</v>
      </c>
      <c r="E337" s="1" t="str">
        <f t="shared" si="3"/>
        <v>At Current Prices</v>
      </c>
      <c r="F337" s="3">
        <v>1.50729976E8</v>
      </c>
    </row>
    <row r="338" ht="15.75" customHeight="1">
      <c r="A338" s="1" t="str">
        <f t="array" ref="A338">INDEX(Reference!$A$2:$A$18, INT((ROW()-2)/(18*3*2)) + 1)</f>
        <v>CALABARZON</v>
      </c>
      <c r="B338" s="2" t="str">
        <f t="array" ref="B338">INDEX(Reference!$C$2:$C$19, MOD(ROW()-2, 18) + 1)</f>
        <v>....Real estate and ownership of dwellings</v>
      </c>
      <c r="C338" s="1" t="str">
        <f t="shared" si="1"/>
        <v>Sub</v>
      </c>
      <c r="D338" s="1">
        <f t="shared" si="2"/>
        <v>2022</v>
      </c>
      <c r="E338" s="1" t="str">
        <f t="shared" si="3"/>
        <v>At Current Prices</v>
      </c>
      <c r="F338" s="3">
        <v>2.2003373E8</v>
      </c>
    </row>
    <row r="339" ht="15.75" customHeight="1">
      <c r="A339" s="1" t="str">
        <f t="array" ref="A339">INDEX(Reference!$A$2:$A$18, INT((ROW()-2)/(18*3*2)) + 1)</f>
        <v>CALABARZON</v>
      </c>
      <c r="B339" s="2" t="str">
        <f t="array" ref="B339">INDEX(Reference!$C$2:$C$19, MOD(ROW()-2, 18) + 1)</f>
        <v>....Professional and business services</v>
      </c>
      <c r="C339" s="1" t="str">
        <f t="shared" si="1"/>
        <v>Sub</v>
      </c>
      <c r="D339" s="1">
        <f t="shared" si="2"/>
        <v>2022</v>
      </c>
      <c r="E339" s="1" t="str">
        <f t="shared" si="3"/>
        <v>At Current Prices</v>
      </c>
      <c r="F339" s="3">
        <v>6.92229E7</v>
      </c>
    </row>
    <row r="340" ht="15.75" customHeight="1">
      <c r="A340" s="1" t="str">
        <f t="array" ref="A340">INDEX(Reference!$A$2:$A$18, INT((ROW()-2)/(18*3*2)) + 1)</f>
        <v>CALABARZON</v>
      </c>
      <c r="B340" s="2" t="str">
        <f t="array" ref="B340">INDEX(Reference!$C$2:$C$19, MOD(ROW()-2, 18) + 1)</f>
        <v>....Public administration and defense; compulsory social activities</v>
      </c>
      <c r="C340" s="1" t="str">
        <f t="shared" si="1"/>
        <v>Sub</v>
      </c>
      <c r="D340" s="1">
        <f t="shared" si="2"/>
        <v>2022</v>
      </c>
      <c r="E340" s="1" t="str">
        <f t="shared" si="3"/>
        <v>At Current Prices</v>
      </c>
      <c r="F340" s="3">
        <v>7.5286149E7</v>
      </c>
    </row>
    <row r="341" ht="15.75" customHeight="1">
      <c r="A341" s="1" t="str">
        <f t="array" ref="A341">INDEX(Reference!$A$2:$A$18, INT((ROW()-2)/(18*3*2)) + 1)</f>
        <v>CALABARZON</v>
      </c>
      <c r="B341" s="2" t="str">
        <f t="array" ref="B341">INDEX(Reference!$C$2:$C$19, MOD(ROW()-2, 18) + 1)</f>
        <v>....Education</v>
      </c>
      <c r="C341" s="1" t="str">
        <f t="shared" si="1"/>
        <v>Sub</v>
      </c>
      <c r="D341" s="1">
        <f t="shared" si="2"/>
        <v>2022</v>
      </c>
      <c r="E341" s="1" t="str">
        <f t="shared" si="3"/>
        <v>At Current Prices</v>
      </c>
      <c r="F341" s="3">
        <v>1.18681328E8</v>
      </c>
    </row>
    <row r="342" ht="15.75" customHeight="1">
      <c r="A342" s="1" t="str">
        <f t="array" ref="A342">INDEX(Reference!$A$2:$A$18, INT((ROW()-2)/(18*3*2)) + 1)</f>
        <v>CALABARZON</v>
      </c>
      <c r="B342" s="2" t="str">
        <f t="array" ref="B342">INDEX(Reference!$C$2:$C$19, MOD(ROW()-2, 18) + 1)</f>
        <v>....Human health and social work activities</v>
      </c>
      <c r="C342" s="1" t="str">
        <f t="shared" si="1"/>
        <v>Sub</v>
      </c>
      <c r="D342" s="1">
        <f t="shared" si="2"/>
        <v>2022</v>
      </c>
      <c r="E342" s="1" t="str">
        <f t="shared" si="3"/>
        <v>At Current Prices</v>
      </c>
      <c r="F342" s="3">
        <v>4.075298E7</v>
      </c>
    </row>
    <row r="343" ht="15.75" customHeight="1">
      <c r="A343" s="1" t="str">
        <f t="array" ref="A343">INDEX(Reference!$A$2:$A$18, INT((ROW()-2)/(18*3*2)) + 1)</f>
        <v>CALABARZON</v>
      </c>
      <c r="B343" s="2" t="str">
        <f t="array" ref="B343">INDEX(Reference!$C$2:$C$19, MOD(ROW()-2, 18) + 1)</f>
        <v>....Other services</v>
      </c>
      <c r="C343" s="1" t="str">
        <f t="shared" si="1"/>
        <v>Sub</v>
      </c>
      <c r="D343" s="1">
        <f t="shared" si="2"/>
        <v>2022</v>
      </c>
      <c r="E343" s="1" t="str">
        <f t="shared" si="3"/>
        <v>At Current Prices</v>
      </c>
      <c r="F343" s="3">
        <v>5.1858701E7</v>
      </c>
    </row>
    <row r="344" ht="15.75" customHeight="1">
      <c r="A344" s="1" t="str">
        <f t="array" ref="A344">INDEX(Reference!$A$2:$A$18, INT((ROW()-2)/(18*3*2)) + 1)</f>
        <v>CALABARZON</v>
      </c>
      <c r="B344" s="2" t="str">
        <f t="array" ref="B344">INDEX(Reference!$C$2:$C$19, MOD(ROW()-2, 18) + 1)</f>
        <v>..Agriculture, forestry, and fishing</v>
      </c>
      <c r="C344" s="1" t="str">
        <f t="shared" si="1"/>
        <v>Main</v>
      </c>
      <c r="D344" s="1">
        <f t="shared" si="2"/>
        <v>2023</v>
      </c>
      <c r="E344" s="1" t="str">
        <f t="shared" si="3"/>
        <v>At Current Prices</v>
      </c>
      <c r="F344" s="3">
        <v>1.78277285E8</v>
      </c>
    </row>
    <row r="345" ht="15.75" customHeight="1">
      <c r="A345" s="1" t="str">
        <f t="array" ref="A345">INDEX(Reference!$A$2:$A$18, INT((ROW()-2)/(18*3*2)) + 1)</f>
        <v>CALABARZON</v>
      </c>
      <c r="B345" s="2" t="str">
        <f t="array" ref="B345">INDEX(Reference!$C$2:$C$19, MOD(ROW()-2, 18) + 1)</f>
        <v>..Industry</v>
      </c>
      <c r="C345" s="1" t="str">
        <f t="shared" si="1"/>
        <v>Main</v>
      </c>
      <c r="D345" s="1">
        <f t="shared" si="2"/>
        <v>2023</v>
      </c>
      <c r="E345" s="1" t="str">
        <f t="shared" si="3"/>
        <v>At Current Prices</v>
      </c>
      <c r="F345" s="3">
        <v>1.606374111E9</v>
      </c>
    </row>
    <row r="346" ht="15.75" customHeight="1">
      <c r="A346" s="1" t="str">
        <f t="array" ref="A346">INDEX(Reference!$A$2:$A$18, INT((ROW()-2)/(18*3*2)) + 1)</f>
        <v>CALABARZON</v>
      </c>
      <c r="B346" s="2" t="str">
        <f t="array" ref="B346">INDEX(Reference!$C$2:$C$19, MOD(ROW()-2, 18) + 1)</f>
        <v>....Mining and quarrying</v>
      </c>
      <c r="C346" s="1" t="str">
        <f t="shared" si="1"/>
        <v>Sub</v>
      </c>
      <c r="D346" s="1">
        <f t="shared" si="2"/>
        <v>2023</v>
      </c>
      <c r="E346" s="1" t="str">
        <f t="shared" si="3"/>
        <v>At Current Prices</v>
      </c>
      <c r="F346" s="3">
        <v>6534897.0</v>
      </c>
    </row>
    <row r="347" ht="15.75" customHeight="1">
      <c r="A347" s="1" t="str">
        <f t="array" ref="A347">INDEX(Reference!$A$2:$A$18, INT((ROW()-2)/(18*3*2)) + 1)</f>
        <v>CALABARZON</v>
      </c>
      <c r="B347" s="2" t="str">
        <f t="array" ref="B347">INDEX(Reference!$C$2:$C$19, MOD(ROW()-2, 18) + 1)</f>
        <v>....Manufacturing</v>
      </c>
      <c r="C347" s="1" t="str">
        <f t="shared" si="1"/>
        <v>Sub</v>
      </c>
      <c r="D347" s="1">
        <f t="shared" si="2"/>
        <v>2023</v>
      </c>
      <c r="E347" s="1" t="str">
        <f t="shared" si="3"/>
        <v>At Current Prices</v>
      </c>
      <c r="F347" s="3">
        <v>1.309209626E9</v>
      </c>
    </row>
    <row r="348" ht="15.75" customHeight="1">
      <c r="A348" s="1" t="str">
        <f t="array" ref="A348">INDEX(Reference!$A$2:$A$18, INT((ROW()-2)/(18*3*2)) + 1)</f>
        <v>CALABARZON</v>
      </c>
      <c r="B348" s="2" t="str">
        <f t="array" ref="B348">INDEX(Reference!$C$2:$C$19, MOD(ROW()-2, 18) + 1)</f>
        <v>....Electricity, steam, water and waste management</v>
      </c>
      <c r="C348" s="1" t="str">
        <f t="shared" si="1"/>
        <v>Sub</v>
      </c>
      <c r="D348" s="1">
        <f t="shared" si="2"/>
        <v>2023</v>
      </c>
      <c r="E348" s="1" t="str">
        <f t="shared" si="3"/>
        <v>At Current Prices</v>
      </c>
      <c r="F348" s="3">
        <v>1.56628031E8</v>
      </c>
    </row>
    <row r="349" ht="15.75" customHeight="1">
      <c r="A349" s="1" t="str">
        <f t="array" ref="A349">INDEX(Reference!$A$2:$A$18, INT((ROW()-2)/(18*3*2)) + 1)</f>
        <v>CALABARZON</v>
      </c>
      <c r="B349" s="2" t="str">
        <f t="array" ref="B349">INDEX(Reference!$C$2:$C$19, MOD(ROW()-2, 18) + 1)</f>
        <v>....Construction</v>
      </c>
      <c r="C349" s="1" t="str">
        <f t="shared" si="1"/>
        <v>Sub</v>
      </c>
      <c r="D349" s="1">
        <f t="shared" si="2"/>
        <v>2023</v>
      </c>
      <c r="E349" s="1" t="str">
        <f t="shared" si="3"/>
        <v>At Current Prices</v>
      </c>
      <c r="F349" s="3">
        <v>1.34001558E8</v>
      </c>
    </row>
    <row r="350" ht="15.75" customHeight="1">
      <c r="A350" s="1" t="str">
        <f t="array" ref="A350">INDEX(Reference!$A$2:$A$18, INT((ROW()-2)/(18*3*2)) + 1)</f>
        <v>CALABARZON</v>
      </c>
      <c r="B350" s="2" t="str">
        <f t="array" ref="B350">INDEX(Reference!$C$2:$C$19, MOD(ROW()-2, 18) + 1)</f>
        <v>..Services</v>
      </c>
      <c r="C350" s="1" t="str">
        <f t="shared" si="1"/>
        <v>Main</v>
      </c>
      <c r="D350" s="1">
        <f t="shared" si="2"/>
        <v>2023</v>
      </c>
      <c r="E350" s="1" t="str">
        <f t="shared" si="3"/>
        <v>At Current Prices</v>
      </c>
      <c r="F350" s="3">
        <v>1.64824996E9</v>
      </c>
    </row>
    <row r="351" ht="15.75" customHeight="1">
      <c r="A351" s="1" t="str">
        <f t="array" ref="A351">INDEX(Reference!$A$2:$A$18, INT((ROW()-2)/(18*3*2)) + 1)</f>
        <v>CALABARZON</v>
      </c>
      <c r="B351" s="2" t="str">
        <f t="array" ref="B351">INDEX(Reference!$C$2:$C$19, MOD(ROW()-2, 18) + 1)</f>
        <v>....Wholesale and retail trade; repair of motor vehicles and motorcycles</v>
      </c>
      <c r="C351" s="1" t="str">
        <f t="shared" si="1"/>
        <v>Sub</v>
      </c>
      <c r="D351" s="1">
        <f t="shared" si="2"/>
        <v>2023</v>
      </c>
      <c r="E351" s="1" t="str">
        <f t="shared" si="3"/>
        <v>At Current Prices</v>
      </c>
      <c r="F351" s="3">
        <v>4.75598212E8</v>
      </c>
    </row>
    <row r="352" ht="15.75" customHeight="1">
      <c r="A352" s="1" t="str">
        <f t="array" ref="A352">INDEX(Reference!$A$2:$A$18, INT((ROW()-2)/(18*3*2)) + 1)</f>
        <v>CALABARZON</v>
      </c>
      <c r="B352" s="2" t="str">
        <f t="array" ref="B352">INDEX(Reference!$C$2:$C$19, MOD(ROW()-2, 18) + 1)</f>
        <v>....Transportation and storage</v>
      </c>
      <c r="C352" s="1" t="str">
        <f t="shared" si="1"/>
        <v>Sub</v>
      </c>
      <c r="D352" s="1">
        <f t="shared" si="2"/>
        <v>2023</v>
      </c>
      <c r="E352" s="1" t="str">
        <f t="shared" si="3"/>
        <v>At Current Prices</v>
      </c>
      <c r="F352" s="3">
        <v>1.32038036E8</v>
      </c>
    </row>
    <row r="353" ht="15.75" customHeight="1">
      <c r="A353" s="1" t="str">
        <f t="array" ref="A353">INDEX(Reference!$A$2:$A$18, INT((ROW()-2)/(18*3*2)) + 1)</f>
        <v>CALABARZON</v>
      </c>
      <c r="B353" s="2" t="str">
        <f t="array" ref="B353">INDEX(Reference!$C$2:$C$19, MOD(ROW()-2, 18) + 1)</f>
        <v>....Accommodation and food service activities</v>
      </c>
      <c r="C353" s="1" t="str">
        <f t="shared" si="1"/>
        <v>Sub</v>
      </c>
      <c r="D353" s="1">
        <f t="shared" si="2"/>
        <v>2023</v>
      </c>
      <c r="E353" s="1" t="str">
        <f t="shared" si="3"/>
        <v>At Current Prices</v>
      </c>
      <c r="F353" s="3">
        <v>7.6434174E7</v>
      </c>
    </row>
    <row r="354" ht="15.75" customHeight="1">
      <c r="A354" s="1" t="str">
        <f t="array" ref="A354">INDEX(Reference!$A$2:$A$18, INT((ROW()-2)/(18*3*2)) + 1)</f>
        <v>CALABARZON</v>
      </c>
      <c r="B354" s="2" t="str">
        <f t="array" ref="B354">INDEX(Reference!$C$2:$C$19, MOD(ROW()-2, 18) + 1)</f>
        <v>....Information and communication</v>
      </c>
      <c r="C354" s="1" t="str">
        <f t="shared" si="1"/>
        <v>Sub</v>
      </c>
      <c r="D354" s="1">
        <f t="shared" si="2"/>
        <v>2023</v>
      </c>
      <c r="E354" s="1" t="str">
        <f t="shared" si="3"/>
        <v>At Current Prices</v>
      </c>
      <c r="F354" s="3">
        <v>1.34674449E8</v>
      </c>
    </row>
    <row r="355" ht="15.75" customHeight="1">
      <c r="A355" s="1" t="str">
        <f t="array" ref="A355">INDEX(Reference!$A$2:$A$18, INT((ROW()-2)/(18*3*2)) + 1)</f>
        <v>CALABARZON</v>
      </c>
      <c r="B355" s="2" t="str">
        <f t="array" ref="B355">INDEX(Reference!$C$2:$C$19, MOD(ROW()-2, 18) + 1)</f>
        <v>....Financial and insurance activities</v>
      </c>
      <c r="C355" s="1" t="str">
        <f t="shared" si="1"/>
        <v>Sub</v>
      </c>
      <c r="D355" s="1">
        <f t="shared" si="2"/>
        <v>2023</v>
      </c>
      <c r="E355" s="1" t="str">
        <f t="shared" si="3"/>
        <v>At Current Prices</v>
      </c>
      <c r="F355" s="3">
        <v>1.81233045E8</v>
      </c>
    </row>
    <row r="356" ht="15.75" customHeight="1">
      <c r="A356" s="1" t="str">
        <f t="array" ref="A356">INDEX(Reference!$A$2:$A$18, INT((ROW()-2)/(18*3*2)) + 1)</f>
        <v>CALABARZON</v>
      </c>
      <c r="B356" s="2" t="str">
        <f t="array" ref="B356">INDEX(Reference!$C$2:$C$19, MOD(ROW()-2, 18) + 1)</f>
        <v>....Real estate and ownership of dwellings</v>
      </c>
      <c r="C356" s="1" t="str">
        <f t="shared" si="1"/>
        <v>Sub</v>
      </c>
      <c r="D356" s="1">
        <f t="shared" si="2"/>
        <v>2023</v>
      </c>
      <c r="E356" s="1" t="str">
        <f t="shared" si="3"/>
        <v>At Current Prices</v>
      </c>
      <c r="F356" s="3">
        <v>2.44801648E8</v>
      </c>
    </row>
    <row r="357" ht="15.75" customHeight="1">
      <c r="A357" s="1" t="str">
        <f t="array" ref="A357">INDEX(Reference!$A$2:$A$18, INT((ROW()-2)/(18*3*2)) + 1)</f>
        <v>CALABARZON</v>
      </c>
      <c r="B357" s="2" t="str">
        <f t="array" ref="B357">INDEX(Reference!$C$2:$C$19, MOD(ROW()-2, 18) + 1)</f>
        <v>....Professional and business services</v>
      </c>
      <c r="C357" s="1" t="str">
        <f t="shared" si="1"/>
        <v>Sub</v>
      </c>
      <c r="D357" s="1">
        <f t="shared" si="2"/>
        <v>2023</v>
      </c>
      <c r="E357" s="1" t="str">
        <f t="shared" si="3"/>
        <v>At Current Prices</v>
      </c>
      <c r="F357" s="3">
        <v>7.571957E7</v>
      </c>
    </row>
    <row r="358" ht="15.75" customHeight="1">
      <c r="A358" s="1" t="str">
        <f t="array" ref="A358">INDEX(Reference!$A$2:$A$18, INT((ROW()-2)/(18*3*2)) + 1)</f>
        <v>CALABARZON</v>
      </c>
      <c r="B358" s="2" t="str">
        <f t="array" ref="B358">INDEX(Reference!$C$2:$C$19, MOD(ROW()-2, 18) + 1)</f>
        <v>....Public administration and defense; compulsory social activities</v>
      </c>
      <c r="C358" s="1" t="str">
        <f t="shared" si="1"/>
        <v>Sub</v>
      </c>
      <c r="D358" s="1">
        <f t="shared" si="2"/>
        <v>2023</v>
      </c>
      <c r="E358" s="1" t="str">
        <f t="shared" si="3"/>
        <v>At Current Prices</v>
      </c>
      <c r="F358" s="3">
        <v>8.3455543E7</v>
      </c>
    </row>
    <row r="359" ht="15.75" customHeight="1">
      <c r="A359" s="1" t="str">
        <f t="array" ref="A359">INDEX(Reference!$A$2:$A$18, INT((ROW()-2)/(18*3*2)) + 1)</f>
        <v>CALABARZON</v>
      </c>
      <c r="B359" s="2" t="str">
        <f t="array" ref="B359">INDEX(Reference!$C$2:$C$19, MOD(ROW()-2, 18) + 1)</f>
        <v>....Education</v>
      </c>
      <c r="C359" s="1" t="str">
        <f t="shared" si="1"/>
        <v>Sub</v>
      </c>
      <c r="D359" s="1">
        <f t="shared" si="2"/>
        <v>2023</v>
      </c>
      <c r="E359" s="1" t="str">
        <f t="shared" si="3"/>
        <v>At Current Prices</v>
      </c>
      <c r="F359" s="3">
        <v>1.32685136E8</v>
      </c>
    </row>
    <row r="360" ht="15.75" customHeight="1">
      <c r="A360" s="1" t="str">
        <f t="array" ref="A360">INDEX(Reference!$A$2:$A$18, INT((ROW()-2)/(18*3*2)) + 1)</f>
        <v>CALABARZON</v>
      </c>
      <c r="B360" s="2" t="str">
        <f t="array" ref="B360">INDEX(Reference!$C$2:$C$19, MOD(ROW()-2, 18) + 1)</f>
        <v>....Human health and social work activities</v>
      </c>
      <c r="C360" s="1" t="str">
        <f t="shared" si="1"/>
        <v>Sub</v>
      </c>
      <c r="D360" s="1">
        <f t="shared" si="2"/>
        <v>2023</v>
      </c>
      <c r="E360" s="1" t="str">
        <f t="shared" si="3"/>
        <v>At Current Prices</v>
      </c>
      <c r="F360" s="3">
        <v>4.499351E7</v>
      </c>
    </row>
    <row r="361" ht="15.75" customHeight="1">
      <c r="A361" s="1" t="str">
        <f t="array" ref="A361">INDEX(Reference!$A$2:$A$18, INT((ROW()-2)/(18*3*2)) + 1)</f>
        <v>CALABARZON</v>
      </c>
      <c r="B361" s="2" t="str">
        <f t="array" ref="B361">INDEX(Reference!$C$2:$C$19, MOD(ROW()-2, 18) + 1)</f>
        <v>....Other services</v>
      </c>
      <c r="C361" s="1" t="str">
        <f t="shared" si="1"/>
        <v>Sub</v>
      </c>
      <c r="D361" s="1">
        <f t="shared" si="2"/>
        <v>2023</v>
      </c>
      <c r="E361" s="1" t="str">
        <f t="shared" si="3"/>
        <v>At Current Prices</v>
      </c>
      <c r="F361" s="3">
        <v>6.6616636E7</v>
      </c>
    </row>
    <row r="362" ht="15.75" customHeight="1">
      <c r="A362" s="1" t="str">
        <f t="array" ref="A362">INDEX(Reference!$A$2:$A$18, INT((ROW()-2)/(18*3*2)) + 1)</f>
        <v>CALABARZON</v>
      </c>
      <c r="B362" s="2" t="str">
        <f t="array" ref="B362">INDEX(Reference!$C$2:$C$19, MOD(ROW()-2, 18) + 1)</f>
        <v>..Agriculture, forestry, and fishing</v>
      </c>
      <c r="C362" s="1" t="str">
        <f t="shared" si="1"/>
        <v>Main</v>
      </c>
      <c r="D362" s="1">
        <f t="shared" si="2"/>
        <v>2024</v>
      </c>
      <c r="E362" s="1" t="str">
        <f t="shared" si="3"/>
        <v>At Current Prices</v>
      </c>
      <c r="F362" s="3">
        <v>1.95962197E8</v>
      </c>
    </row>
    <row r="363" ht="15.75" customHeight="1">
      <c r="A363" s="1" t="str">
        <f t="array" ref="A363">INDEX(Reference!$A$2:$A$18, INT((ROW()-2)/(18*3*2)) + 1)</f>
        <v>CALABARZON</v>
      </c>
      <c r="B363" s="2" t="str">
        <f t="array" ref="B363">INDEX(Reference!$C$2:$C$19, MOD(ROW()-2, 18) + 1)</f>
        <v>..Industry</v>
      </c>
      <c r="C363" s="1" t="str">
        <f t="shared" si="1"/>
        <v>Main</v>
      </c>
      <c r="D363" s="1">
        <f t="shared" si="2"/>
        <v>2024</v>
      </c>
      <c r="E363" s="1" t="str">
        <f t="shared" si="3"/>
        <v>At Current Prices</v>
      </c>
      <c r="F363" s="3">
        <v>1.698425114E9</v>
      </c>
    </row>
    <row r="364" ht="15.75" customHeight="1">
      <c r="A364" s="1" t="str">
        <f t="array" ref="A364">INDEX(Reference!$A$2:$A$18, INT((ROW()-2)/(18*3*2)) + 1)</f>
        <v>CALABARZON</v>
      </c>
      <c r="B364" s="2" t="str">
        <f t="array" ref="B364">INDEX(Reference!$C$2:$C$19, MOD(ROW()-2, 18) + 1)</f>
        <v>....Mining and quarrying</v>
      </c>
      <c r="C364" s="1" t="str">
        <f t="shared" si="1"/>
        <v>Sub</v>
      </c>
      <c r="D364" s="1">
        <f t="shared" si="2"/>
        <v>2024</v>
      </c>
      <c r="E364" s="1" t="str">
        <f t="shared" si="3"/>
        <v>At Current Prices</v>
      </c>
      <c r="F364" s="3">
        <v>6951850.0</v>
      </c>
    </row>
    <row r="365" ht="15.75" customHeight="1">
      <c r="A365" s="1" t="str">
        <f t="array" ref="A365">INDEX(Reference!$A$2:$A$18, INT((ROW()-2)/(18*3*2)) + 1)</f>
        <v>CALABARZON</v>
      </c>
      <c r="B365" s="2" t="str">
        <f t="array" ref="B365">INDEX(Reference!$C$2:$C$19, MOD(ROW()-2, 18) + 1)</f>
        <v>....Manufacturing</v>
      </c>
      <c r="C365" s="1" t="str">
        <f t="shared" si="1"/>
        <v>Sub</v>
      </c>
      <c r="D365" s="1">
        <f t="shared" si="2"/>
        <v>2024</v>
      </c>
      <c r="E365" s="1" t="str">
        <f t="shared" si="3"/>
        <v>At Current Prices</v>
      </c>
      <c r="F365" s="3">
        <v>1.375412837E9</v>
      </c>
    </row>
    <row r="366" ht="15.75" customHeight="1">
      <c r="A366" s="1" t="str">
        <f t="array" ref="A366">INDEX(Reference!$A$2:$A$18, INT((ROW()-2)/(18*3*2)) + 1)</f>
        <v>CALABARZON</v>
      </c>
      <c r="B366" s="2" t="str">
        <f t="array" ref="B366">INDEX(Reference!$C$2:$C$19, MOD(ROW()-2, 18) + 1)</f>
        <v>....Electricity, steam, water and waste management</v>
      </c>
      <c r="C366" s="1" t="str">
        <f t="shared" si="1"/>
        <v>Sub</v>
      </c>
      <c r="D366" s="1">
        <f t="shared" si="2"/>
        <v>2024</v>
      </c>
      <c r="E366" s="1" t="str">
        <f t="shared" si="3"/>
        <v>At Current Prices</v>
      </c>
      <c r="F366" s="3">
        <v>1.66623523E8</v>
      </c>
    </row>
    <row r="367" ht="15.75" customHeight="1">
      <c r="A367" s="1" t="str">
        <f t="array" ref="A367">INDEX(Reference!$A$2:$A$18, INT((ROW()-2)/(18*3*2)) + 1)</f>
        <v>CALABARZON</v>
      </c>
      <c r="B367" s="2" t="str">
        <f t="array" ref="B367">INDEX(Reference!$C$2:$C$19, MOD(ROW()-2, 18) + 1)</f>
        <v>....Construction</v>
      </c>
      <c r="C367" s="1" t="str">
        <f t="shared" si="1"/>
        <v>Sub</v>
      </c>
      <c r="D367" s="1">
        <f t="shared" si="2"/>
        <v>2024</v>
      </c>
      <c r="E367" s="1" t="str">
        <f t="shared" si="3"/>
        <v>At Current Prices</v>
      </c>
      <c r="F367" s="3">
        <v>1.49436903E8</v>
      </c>
    </row>
    <row r="368" ht="15.75" customHeight="1">
      <c r="A368" s="1" t="str">
        <f t="array" ref="A368">INDEX(Reference!$A$2:$A$18, INT((ROW()-2)/(18*3*2)) + 1)</f>
        <v>CALABARZON</v>
      </c>
      <c r="B368" s="2" t="str">
        <f t="array" ref="B368">INDEX(Reference!$C$2:$C$19, MOD(ROW()-2, 18) + 1)</f>
        <v>..Services</v>
      </c>
      <c r="C368" s="1" t="str">
        <f t="shared" si="1"/>
        <v>Main</v>
      </c>
      <c r="D368" s="1">
        <f t="shared" si="2"/>
        <v>2024</v>
      </c>
      <c r="E368" s="1" t="str">
        <f t="shared" si="3"/>
        <v>At Current Prices</v>
      </c>
      <c r="F368" s="3">
        <v>1.829181197E9</v>
      </c>
    </row>
    <row r="369" ht="15.75" customHeight="1">
      <c r="A369" s="1" t="str">
        <f t="array" ref="A369">INDEX(Reference!$A$2:$A$18, INT((ROW()-2)/(18*3*2)) + 1)</f>
        <v>CALABARZON</v>
      </c>
      <c r="B369" s="2" t="str">
        <f t="array" ref="B369">INDEX(Reference!$C$2:$C$19, MOD(ROW()-2, 18) + 1)</f>
        <v>....Wholesale and retail trade; repair of motor vehicles and motorcycles</v>
      </c>
      <c r="C369" s="1" t="str">
        <f t="shared" si="1"/>
        <v>Sub</v>
      </c>
      <c r="D369" s="1">
        <f t="shared" si="2"/>
        <v>2024</v>
      </c>
      <c r="E369" s="1" t="str">
        <f t="shared" si="3"/>
        <v>At Current Prices</v>
      </c>
      <c r="F369" s="3">
        <v>5.22413612E8</v>
      </c>
    </row>
    <row r="370" ht="15.75" customHeight="1">
      <c r="A370" s="1" t="str">
        <f t="array" ref="A370">INDEX(Reference!$A$2:$A$18, INT((ROW()-2)/(18*3*2)) + 1)</f>
        <v>CALABARZON</v>
      </c>
      <c r="B370" s="2" t="str">
        <f t="array" ref="B370">INDEX(Reference!$C$2:$C$19, MOD(ROW()-2, 18) + 1)</f>
        <v>....Transportation and storage</v>
      </c>
      <c r="C370" s="1" t="str">
        <f t="shared" si="1"/>
        <v>Sub</v>
      </c>
      <c r="D370" s="1">
        <f t="shared" si="2"/>
        <v>2024</v>
      </c>
      <c r="E370" s="1" t="str">
        <f t="shared" si="3"/>
        <v>At Current Prices</v>
      </c>
      <c r="F370" s="3">
        <v>1.43102702E8</v>
      </c>
    </row>
    <row r="371" ht="15.75" customHeight="1">
      <c r="A371" s="1" t="str">
        <f t="array" ref="A371">INDEX(Reference!$A$2:$A$18, INT((ROW()-2)/(18*3*2)) + 1)</f>
        <v>CALABARZON</v>
      </c>
      <c r="B371" s="2" t="str">
        <f t="array" ref="B371">INDEX(Reference!$C$2:$C$19, MOD(ROW()-2, 18) + 1)</f>
        <v>....Accommodation and food service activities</v>
      </c>
      <c r="C371" s="1" t="str">
        <f t="shared" si="1"/>
        <v>Sub</v>
      </c>
      <c r="D371" s="1">
        <f t="shared" si="2"/>
        <v>2024</v>
      </c>
      <c r="E371" s="1" t="str">
        <f t="shared" si="3"/>
        <v>At Current Prices</v>
      </c>
      <c r="F371" s="3">
        <v>9.0083645E7</v>
      </c>
    </row>
    <row r="372" ht="15.75" customHeight="1">
      <c r="A372" s="1" t="str">
        <f t="array" ref="A372">INDEX(Reference!$A$2:$A$18, INT((ROW()-2)/(18*3*2)) + 1)</f>
        <v>CALABARZON</v>
      </c>
      <c r="B372" s="2" t="str">
        <f t="array" ref="B372">INDEX(Reference!$C$2:$C$19, MOD(ROW()-2, 18) + 1)</f>
        <v>....Information and communication</v>
      </c>
      <c r="C372" s="1" t="str">
        <f t="shared" si="1"/>
        <v>Sub</v>
      </c>
      <c r="D372" s="1">
        <f t="shared" si="2"/>
        <v>2024</v>
      </c>
      <c r="E372" s="1" t="str">
        <f t="shared" si="3"/>
        <v>At Current Prices</v>
      </c>
      <c r="F372" s="3">
        <v>1.39652318E8</v>
      </c>
    </row>
    <row r="373" ht="15.75" customHeight="1">
      <c r="A373" s="1" t="str">
        <f t="array" ref="A373">INDEX(Reference!$A$2:$A$18, INT((ROW()-2)/(18*3*2)) + 1)</f>
        <v>CALABARZON</v>
      </c>
      <c r="B373" s="2" t="str">
        <f t="array" ref="B373">INDEX(Reference!$C$2:$C$19, MOD(ROW()-2, 18) + 1)</f>
        <v>....Financial and insurance activities</v>
      </c>
      <c r="C373" s="1" t="str">
        <f t="shared" si="1"/>
        <v>Sub</v>
      </c>
      <c r="D373" s="1">
        <f t="shared" si="2"/>
        <v>2024</v>
      </c>
      <c r="E373" s="1" t="str">
        <f t="shared" si="3"/>
        <v>At Current Prices</v>
      </c>
      <c r="F373" s="3">
        <v>2.11682707E8</v>
      </c>
    </row>
    <row r="374" ht="15.75" customHeight="1">
      <c r="A374" s="1" t="str">
        <f t="array" ref="A374">INDEX(Reference!$A$2:$A$18, INT((ROW()-2)/(18*3*2)) + 1)</f>
        <v>CALABARZON</v>
      </c>
      <c r="B374" s="2" t="str">
        <f t="array" ref="B374">INDEX(Reference!$C$2:$C$19, MOD(ROW()-2, 18) + 1)</f>
        <v>....Real estate and ownership of dwellings</v>
      </c>
      <c r="C374" s="1" t="str">
        <f t="shared" si="1"/>
        <v>Sub</v>
      </c>
      <c r="D374" s="1">
        <f t="shared" si="2"/>
        <v>2024</v>
      </c>
      <c r="E374" s="1" t="str">
        <f t="shared" si="3"/>
        <v>At Current Prices</v>
      </c>
      <c r="F374" s="3">
        <v>2.65036959E8</v>
      </c>
    </row>
    <row r="375" ht="15.75" customHeight="1">
      <c r="A375" s="1" t="str">
        <f t="array" ref="A375">INDEX(Reference!$A$2:$A$18, INT((ROW()-2)/(18*3*2)) + 1)</f>
        <v>CALABARZON</v>
      </c>
      <c r="B375" s="2" t="str">
        <f t="array" ref="B375">INDEX(Reference!$C$2:$C$19, MOD(ROW()-2, 18) + 1)</f>
        <v>....Professional and business services</v>
      </c>
      <c r="C375" s="1" t="str">
        <f t="shared" si="1"/>
        <v>Sub</v>
      </c>
      <c r="D375" s="1">
        <f t="shared" si="2"/>
        <v>2024</v>
      </c>
      <c r="E375" s="1" t="str">
        <f t="shared" si="3"/>
        <v>At Current Prices</v>
      </c>
      <c r="F375" s="3">
        <v>8.396487E7</v>
      </c>
    </row>
    <row r="376" ht="15.75" customHeight="1">
      <c r="A376" s="1" t="str">
        <f t="array" ref="A376">INDEX(Reference!$A$2:$A$18, INT((ROW()-2)/(18*3*2)) + 1)</f>
        <v>CALABARZON</v>
      </c>
      <c r="B376" s="2" t="str">
        <f t="array" ref="B376">INDEX(Reference!$C$2:$C$19, MOD(ROW()-2, 18) + 1)</f>
        <v>....Public administration and defense; compulsory social activities</v>
      </c>
      <c r="C376" s="1" t="str">
        <f t="shared" si="1"/>
        <v>Sub</v>
      </c>
      <c r="D376" s="1">
        <f t="shared" si="2"/>
        <v>2024</v>
      </c>
      <c r="E376" s="1" t="str">
        <f t="shared" si="3"/>
        <v>At Current Prices</v>
      </c>
      <c r="F376" s="3">
        <v>9.6199571E7</v>
      </c>
    </row>
    <row r="377" ht="15.75" customHeight="1">
      <c r="A377" s="1" t="str">
        <f t="array" ref="A377">INDEX(Reference!$A$2:$A$18, INT((ROW()-2)/(18*3*2)) + 1)</f>
        <v>CALABARZON</v>
      </c>
      <c r="B377" s="2" t="str">
        <f t="array" ref="B377">INDEX(Reference!$C$2:$C$19, MOD(ROW()-2, 18) + 1)</f>
        <v>....Education</v>
      </c>
      <c r="C377" s="1" t="str">
        <f t="shared" si="1"/>
        <v>Sub</v>
      </c>
      <c r="D377" s="1">
        <f t="shared" si="2"/>
        <v>2024</v>
      </c>
      <c r="E377" s="1" t="str">
        <f t="shared" si="3"/>
        <v>At Current Prices</v>
      </c>
      <c r="F377" s="3">
        <v>1.48826602E8</v>
      </c>
    </row>
    <row r="378" ht="15.75" customHeight="1">
      <c r="A378" s="1" t="str">
        <f t="array" ref="A378">INDEX(Reference!$A$2:$A$18, INT((ROW()-2)/(18*3*2)) + 1)</f>
        <v>CALABARZON</v>
      </c>
      <c r="B378" s="2" t="str">
        <f t="array" ref="B378">INDEX(Reference!$C$2:$C$19, MOD(ROW()-2, 18) + 1)</f>
        <v>....Human health and social work activities</v>
      </c>
      <c r="C378" s="1" t="str">
        <f t="shared" si="1"/>
        <v>Sub</v>
      </c>
      <c r="D378" s="1">
        <f t="shared" si="2"/>
        <v>2024</v>
      </c>
      <c r="E378" s="1" t="str">
        <f t="shared" si="3"/>
        <v>At Current Prices</v>
      </c>
      <c r="F378" s="3">
        <v>5.2251826E7</v>
      </c>
    </row>
    <row r="379" ht="15.75" customHeight="1">
      <c r="A379" s="1" t="str">
        <f t="array" ref="A379">INDEX(Reference!$A$2:$A$18, INT((ROW()-2)/(18*3*2)) + 1)</f>
        <v>CALABARZON</v>
      </c>
      <c r="B379" s="2" t="str">
        <f t="array" ref="B379">INDEX(Reference!$C$2:$C$19, MOD(ROW()-2, 18) + 1)</f>
        <v>....Other services</v>
      </c>
      <c r="C379" s="1" t="str">
        <f t="shared" si="1"/>
        <v>Sub</v>
      </c>
      <c r="D379" s="1">
        <f t="shared" si="2"/>
        <v>2024</v>
      </c>
      <c r="E379" s="1" t="str">
        <f t="shared" si="3"/>
        <v>At Current Prices</v>
      </c>
      <c r="F379" s="3">
        <v>7.5966386E7</v>
      </c>
    </row>
    <row r="380" ht="15.75" customHeight="1">
      <c r="A380" s="1" t="str">
        <f t="array" ref="A380">INDEX(Reference!$A$2:$A$18, INT((ROW()-2)/(18*3*2)) + 1)</f>
        <v>CALABARZON</v>
      </c>
      <c r="B380" s="2" t="str">
        <f t="array" ref="B380">INDEX(Reference!$C$2:$C$19, MOD(ROW()-2, 18) + 1)</f>
        <v>..Agriculture, forestry, and fishing</v>
      </c>
      <c r="C380" s="1" t="str">
        <f t="shared" si="1"/>
        <v>Main</v>
      </c>
      <c r="D380" s="1">
        <f t="shared" si="2"/>
        <v>2022</v>
      </c>
      <c r="E380" s="1" t="str">
        <f t="shared" si="3"/>
        <v>At Constant 2018 Prices</v>
      </c>
      <c r="F380" s="3">
        <v>1.33346622E8</v>
      </c>
    </row>
    <row r="381" ht="15.75" customHeight="1">
      <c r="A381" s="1" t="str">
        <f t="array" ref="A381">INDEX(Reference!$A$2:$A$18, INT((ROW()-2)/(18*3*2)) + 1)</f>
        <v>CALABARZON</v>
      </c>
      <c r="B381" s="2" t="str">
        <f t="array" ref="B381">INDEX(Reference!$C$2:$C$19, MOD(ROW()-2, 18) + 1)</f>
        <v>..Industry</v>
      </c>
      <c r="C381" s="1" t="str">
        <f t="shared" si="1"/>
        <v>Main</v>
      </c>
      <c r="D381" s="1">
        <f t="shared" si="2"/>
        <v>2022</v>
      </c>
      <c r="E381" s="1" t="str">
        <f t="shared" si="3"/>
        <v>At Constant 2018 Prices</v>
      </c>
      <c r="F381" s="3">
        <v>1.493261903E9</v>
      </c>
    </row>
    <row r="382" ht="15.75" customHeight="1">
      <c r="A382" s="1" t="str">
        <f t="array" ref="A382">INDEX(Reference!$A$2:$A$18, INT((ROW()-2)/(18*3*2)) + 1)</f>
        <v>CALABARZON</v>
      </c>
      <c r="B382" s="2" t="str">
        <f t="array" ref="B382">INDEX(Reference!$C$2:$C$19, MOD(ROW()-2, 18) + 1)</f>
        <v>....Mining and quarrying</v>
      </c>
      <c r="C382" s="1" t="str">
        <f t="shared" si="1"/>
        <v>Sub</v>
      </c>
      <c r="D382" s="1">
        <f t="shared" si="2"/>
        <v>2022</v>
      </c>
      <c r="E382" s="1" t="str">
        <f t="shared" si="3"/>
        <v>At Constant 2018 Prices</v>
      </c>
      <c r="F382" s="3">
        <v>6133987.0</v>
      </c>
    </row>
    <row r="383" ht="15.75" customHeight="1">
      <c r="A383" s="1" t="str">
        <f t="array" ref="A383">INDEX(Reference!$A$2:$A$18, INT((ROW()-2)/(18*3*2)) + 1)</f>
        <v>CALABARZON</v>
      </c>
      <c r="B383" s="2" t="str">
        <f t="array" ref="B383">INDEX(Reference!$C$2:$C$19, MOD(ROW()-2, 18) + 1)</f>
        <v>....Manufacturing</v>
      </c>
      <c r="C383" s="1" t="str">
        <f t="shared" si="1"/>
        <v>Sub</v>
      </c>
      <c r="D383" s="1">
        <f t="shared" si="2"/>
        <v>2022</v>
      </c>
      <c r="E383" s="1" t="str">
        <f t="shared" si="3"/>
        <v>At Constant 2018 Prices</v>
      </c>
      <c r="F383" s="3">
        <v>1.26463856E9</v>
      </c>
    </row>
    <row r="384" ht="15.75" customHeight="1">
      <c r="A384" s="1" t="str">
        <f t="array" ref="A384">INDEX(Reference!$A$2:$A$18, INT((ROW()-2)/(18*3*2)) + 1)</f>
        <v>CALABARZON</v>
      </c>
      <c r="B384" s="2" t="str">
        <f t="array" ref="B384">INDEX(Reference!$C$2:$C$19, MOD(ROW()-2, 18) + 1)</f>
        <v>....Electricity, steam, water and waste management</v>
      </c>
      <c r="C384" s="1" t="str">
        <f t="shared" si="1"/>
        <v>Sub</v>
      </c>
      <c r="D384" s="1">
        <f t="shared" si="2"/>
        <v>2022</v>
      </c>
      <c r="E384" s="1" t="str">
        <f t="shared" si="3"/>
        <v>At Constant 2018 Prices</v>
      </c>
      <c r="F384" s="3">
        <v>1.24713131E8</v>
      </c>
    </row>
    <row r="385" ht="15.75" customHeight="1">
      <c r="A385" s="1" t="str">
        <f t="array" ref="A385">INDEX(Reference!$A$2:$A$18, INT((ROW()-2)/(18*3*2)) + 1)</f>
        <v>CALABARZON</v>
      </c>
      <c r="B385" s="2" t="str">
        <f t="array" ref="B385">INDEX(Reference!$C$2:$C$19, MOD(ROW()-2, 18) + 1)</f>
        <v>....Construction</v>
      </c>
      <c r="C385" s="1" t="str">
        <f t="shared" si="1"/>
        <v>Sub</v>
      </c>
      <c r="D385" s="1">
        <f t="shared" si="2"/>
        <v>2022</v>
      </c>
      <c r="E385" s="1" t="str">
        <f t="shared" si="3"/>
        <v>At Constant 2018 Prices</v>
      </c>
      <c r="F385" s="3">
        <v>9.7776226E7</v>
      </c>
    </row>
    <row r="386" ht="15.75" customHeight="1">
      <c r="A386" s="1" t="str">
        <f t="array" ref="A386">INDEX(Reference!$A$2:$A$18, INT((ROW()-2)/(18*3*2)) + 1)</f>
        <v>CALABARZON</v>
      </c>
      <c r="B386" s="2" t="str">
        <f t="array" ref="B386">INDEX(Reference!$C$2:$C$19, MOD(ROW()-2, 18) + 1)</f>
        <v>..Services</v>
      </c>
      <c r="C386" s="1" t="str">
        <f t="shared" si="1"/>
        <v>Main</v>
      </c>
      <c r="D386" s="1">
        <f t="shared" si="2"/>
        <v>2022</v>
      </c>
      <c r="E386" s="1" t="str">
        <f t="shared" si="3"/>
        <v>At Constant 2018 Prices</v>
      </c>
      <c r="F386" s="3">
        <v>1.315906424E9</v>
      </c>
    </row>
    <row r="387" ht="15.75" customHeight="1">
      <c r="A387" s="1" t="str">
        <f t="array" ref="A387">INDEX(Reference!$A$2:$A$18, INT((ROW()-2)/(18*3*2)) + 1)</f>
        <v>CALABARZON</v>
      </c>
      <c r="B387" s="2" t="str">
        <f t="array" ref="B387">INDEX(Reference!$C$2:$C$19, MOD(ROW()-2, 18) + 1)</f>
        <v>....Wholesale and retail trade; repair of motor vehicles and motorcycles</v>
      </c>
      <c r="C387" s="1" t="str">
        <f t="shared" si="1"/>
        <v>Sub</v>
      </c>
      <c r="D387" s="1">
        <f t="shared" si="2"/>
        <v>2022</v>
      </c>
      <c r="E387" s="1" t="str">
        <f t="shared" si="3"/>
        <v>At Constant 2018 Prices</v>
      </c>
      <c r="F387" s="3">
        <v>3.90878363E8</v>
      </c>
    </row>
    <row r="388" ht="15.75" customHeight="1">
      <c r="A388" s="1" t="str">
        <f t="array" ref="A388">INDEX(Reference!$A$2:$A$18, INT((ROW()-2)/(18*3*2)) + 1)</f>
        <v>CALABARZON</v>
      </c>
      <c r="B388" s="2" t="str">
        <f t="array" ref="B388">INDEX(Reference!$C$2:$C$19, MOD(ROW()-2, 18) + 1)</f>
        <v>....Transportation and storage</v>
      </c>
      <c r="C388" s="1" t="str">
        <f t="shared" si="1"/>
        <v>Sub</v>
      </c>
      <c r="D388" s="1">
        <f t="shared" si="2"/>
        <v>2022</v>
      </c>
      <c r="E388" s="1" t="str">
        <f t="shared" si="3"/>
        <v>At Constant 2018 Prices</v>
      </c>
      <c r="F388" s="3">
        <v>9.9830413E7</v>
      </c>
    </row>
    <row r="389" ht="15.75" customHeight="1">
      <c r="A389" s="1" t="str">
        <f t="array" ref="A389">INDEX(Reference!$A$2:$A$18, INT((ROW()-2)/(18*3*2)) + 1)</f>
        <v>CALABARZON</v>
      </c>
      <c r="B389" s="2" t="str">
        <f t="array" ref="B389">INDEX(Reference!$C$2:$C$19, MOD(ROW()-2, 18) + 1)</f>
        <v>....Accommodation and food service activities</v>
      </c>
      <c r="C389" s="1" t="str">
        <f t="shared" si="1"/>
        <v>Sub</v>
      </c>
      <c r="D389" s="1">
        <f t="shared" si="2"/>
        <v>2022</v>
      </c>
      <c r="E389" s="1" t="str">
        <f t="shared" si="3"/>
        <v>At Constant 2018 Prices</v>
      </c>
      <c r="F389" s="3">
        <v>4.9458653E7</v>
      </c>
    </row>
    <row r="390" ht="15.75" customHeight="1">
      <c r="A390" s="1" t="str">
        <f t="array" ref="A390">INDEX(Reference!$A$2:$A$18, INT((ROW()-2)/(18*3*2)) + 1)</f>
        <v>CALABARZON</v>
      </c>
      <c r="B390" s="2" t="str">
        <f t="array" ref="B390">INDEX(Reference!$C$2:$C$19, MOD(ROW()-2, 18) + 1)</f>
        <v>....Information and communication</v>
      </c>
      <c r="C390" s="1" t="str">
        <f t="shared" si="1"/>
        <v>Sub</v>
      </c>
      <c r="D390" s="1">
        <f t="shared" si="2"/>
        <v>2022</v>
      </c>
      <c r="E390" s="1" t="str">
        <f t="shared" si="3"/>
        <v>At Constant 2018 Prices</v>
      </c>
      <c r="F390" s="3">
        <v>1.30294783E8</v>
      </c>
    </row>
    <row r="391" ht="15.75" customHeight="1">
      <c r="A391" s="1" t="str">
        <f t="array" ref="A391">INDEX(Reference!$A$2:$A$18, INT((ROW()-2)/(18*3*2)) + 1)</f>
        <v>CALABARZON</v>
      </c>
      <c r="B391" s="2" t="str">
        <f t="array" ref="B391">INDEX(Reference!$C$2:$C$19, MOD(ROW()-2, 18) + 1)</f>
        <v>....Financial and insurance activities</v>
      </c>
      <c r="C391" s="1" t="str">
        <f t="shared" si="1"/>
        <v>Sub</v>
      </c>
      <c r="D391" s="1">
        <f t="shared" si="2"/>
        <v>2022</v>
      </c>
      <c r="E391" s="1" t="str">
        <f t="shared" si="3"/>
        <v>At Constant 2018 Prices</v>
      </c>
      <c r="F391" s="3">
        <v>1.30965547E8</v>
      </c>
    </row>
    <row r="392" ht="15.75" customHeight="1">
      <c r="A392" s="1" t="str">
        <f t="array" ref="A392">INDEX(Reference!$A$2:$A$18, INT((ROW()-2)/(18*3*2)) + 1)</f>
        <v>CALABARZON</v>
      </c>
      <c r="B392" s="2" t="str">
        <f t="array" ref="B392">INDEX(Reference!$C$2:$C$19, MOD(ROW()-2, 18) + 1)</f>
        <v>....Real estate and ownership of dwellings</v>
      </c>
      <c r="C392" s="1" t="str">
        <f t="shared" si="1"/>
        <v>Sub</v>
      </c>
      <c r="D392" s="1">
        <f t="shared" si="2"/>
        <v>2022</v>
      </c>
      <c r="E392" s="1" t="str">
        <f t="shared" si="3"/>
        <v>At Constant 2018 Prices</v>
      </c>
      <c r="F392" s="3">
        <v>1.9366198E8</v>
      </c>
    </row>
    <row r="393" ht="15.75" customHeight="1">
      <c r="A393" s="1" t="str">
        <f t="array" ref="A393">INDEX(Reference!$A$2:$A$18, INT((ROW()-2)/(18*3*2)) + 1)</f>
        <v>CALABARZON</v>
      </c>
      <c r="B393" s="2" t="str">
        <f t="array" ref="B393">INDEX(Reference!$C$2:$C$19, MOD(ROW()-2, 18) + 1)</f>
        <v>....Professional and business services</v>
      </c>
      <c r="C393" s="1" t="str">
        <f t="shared" si="1"/>
        <v>Sub</v>
      </c>
      <c r="D393" s="1">
        <f t="shared" si="2"/>
        <v>2022</v>
      </c>
      <c r="E393" s="1" t="str">
        <f t="shared" si="3"/>
        <v>At Constant 2018 Prices</v>
      </c>
      <c r="F393" s="3">
        <v>6.3461259E7</v>
      </c>
    </row>
    <row r="394" ht="15.75" customHeight="1">
      <c r="A394" s="1" t="str">
        <f t="array" ref="A394">INDEX(Reference!$A$2:$A$18, INT((ROW()-2)/(18*3*2)) + 1)</f>
        <v>CALABARZON</v>
      </c>
      <c r="B394" s="2" t="str">
        <f t="array" ref="B394">INDEX(Reference!$C$2:$C$19, MOD(ROW()-2, 18) + 1)</f>
        <v>....Public administration and defense; compulsory social activities</v>
      </c>
      <c r="C394" s="1" t="str">
        <f t="shared" si="1"/>
        <v>Sub</v>
      </c>
      <c r="D394" s="1">
        <f t="shared" si="2"/>
        <v>2022</v>
      </c>
      <c r="E394" s="1" t="str">
        <f t="shared" si="3"/>
        <v>At Constant 2018 Prices</v>
      </c>
      <c r="F394" s="3">
        <v>6.746561E7</v>
      </c>
    </row>
    <row r="395" ht="15.75" customHeight="1">
      <c r="A395" s="1" t="str">
        <f t="array" ref="A395">INDEX(Reference!$A$2:$A$18, INT((ROW()-2)/(18*3*2)) + 1)</f>
        <v>CALABARZON</v>
      </c>
      <c r="B395" s="2" t="str">
        <f t="array" ref="B395">INDEX(Reference!$C$2:$C$19, MOD(ROW()-2, 18) + 1)</f>
        <v>....Education</v>
      </c>
      <c r="C395" s="1" t="str">
        <f t="shared" si="1"/>
        <v>Sub</v>
      </c>
      <c r="D395" s="1">
        <f t="shared" si="2"/>
        <v>2022</v>
      </c>
      <c r="E395" s="1" t="str">
        <f t="shared" si="3"/>
        <v>At Constant 2018 Prices</v>
      </c>
      <c r="F395" s="3">
        <v>1.06421448E8</v>
      </c>
    </row>
    <row r="396" ht="15.75" customHeight="1">
      <c r="A396" s="1" t="str">
        <f t="array" ref="A396">INDEX(Reference!$A$2:$A$18, INT((ROW()-2)/(18*3*2)) + 1)</f>
        <v>CALABARZON</v>
      </c>
      <c r="B396" s="2" t="str">
        <f t="array" ref="B396">INDEX(Reference!$C$2:$C$19, MOD(ROW()-2, 18) + 1)</f>
        <v>....Human health and social work activities</v>
      </c>
      <c r="C396" s="1" t="str">
        <f t="shared" si="1"/>
        <v>Sub</v>
      </c>
      <c r="D396" s="1">
        <f t="shared" si="2"/>
        <v>2022</v>
      </c>
      <c r="E396" s="1" t="str">
        <f t="shared" si="3"/>
        <v>At Constant 2018 Prices</v>
      </c>
      <c r="F396" s="3">
        <v>3.6121158E7</v>
      </c>
    </row>
    <row r="397" ht="15.75" customHeight="1">
      <c r="A397" s="1" t="str">
        <f t="array" ref="A397">INDEX(Reference!$A$2:$A$18, INT((ROW()-2)/(18*3*2)) + 1)</f>
        <v>CALABARZON</v>
      </c>
      <c r="B397" s="2" t="str">
        <f t="array" ref="B397">INDEX(Reference!$C$2:$C$19, MOD(ROW()-2, 18) + 1)</f>
        <v>....Other services</v>
      </c>
      <c r="C397" s="1" t="str">
        <f t="shared" si="1"/>
        <v>Sub</v>
      </c>
      <c r="D397" s="1">
        <f t="shared" si="2"/>
        <v>2022</v>
      </c>
      <c r="E397" s="1" t="str">
        <f t="shared" si="3"/>
        <v>At Constant 2018 Prices</v>
      </c>
      <c r="F397" s="3">
        <v>4.7347209E7</v>
      </c>
    </row>
    <row r="398" ht="15.75" customHeight="1">
      <c r="A398" s="1" t="str">
        <f t="array" ref="A398">INDEX(Reference!$A$2:$A$18, INT((ROW()-2)/(18*3*2)) + 1)</f>
        <v>CALABARZON</v>
      </c>
      <c r="B398" s="2" t="str">
        <f t="array" ref="B398">INDEX(Reference!$C$2:$C$19, MOD(ROW()-2, 18) + 1)</f>
        <v>..Agriculture, forestry, and fishing</v>
      </c>
      <c r="C398" s="1" t="str">
        <f t="shared" si="1"/>
        <v>Main</v>
      </c>
      <c r="D398" s="1">
        <f t="shared" si="2"/>
        <v>2023</v>
      </c>
      <c r="E398" s="1" t="str">
        <f t="shared" si="3"/>
        <v>At Constant 2018 Prices</v>
      </c>
      <c r="F398" s="3">
        <v>1.37316507E8</v>
      </c>
    </row>
    <row r="399" ht="15.75" customHeight="1">
      <c r="A399" s="1" t="str">
        <f t="array" ref="A399">INDEX(Reference!$A$2:$A$18, INT((ROW()-2)/(18*3*2)) + 1)</f>
        <v>CALABARZON</v>
      </c>
      <c r="B399" s="2" t="str">
        <f t="array" ref="B399">INDEX(Reference!$C$2:$C$19, MOD(ROW()-2, 18) + 1)</f>
        <v>..Industry</v>
      </c>
      <c r="C399" s="1" t="str">
        <f t="shared" si="1"/>
        <v>Main</v>
      </c>
      <c r="D399" s="1">
        <f t="shared" si="2"/>
        <v>2023</v>
      </c>
      <c r="E399" s="1" t="str">
        <f t="shared" si="3"/>
        <v>At Constant 2018 Prices</v>
      </c>
      <c r="F399" s="3">
        <v>1.534669364E9</v>
      </c>
    </row>
    <row r="400" ht="15.75" customHeight="1">
      <c r="A400" s="1" t="str">
        <f t="array" ref="A400">INDEX(Reference!$A$2:$A$18, INT((ROW()-2)/(18*3*2)) + 1)</f>
        <v>CALABARZON</v>
      </c>
      <c r="B400" s="2" t="str">
        <f t="array" ref="B400">INDEX(Reference!$C$2:$C$19, MOD(ROW()-2, 18) + 1)</f>
        <v>....Mining and quarrying</v>
      </c>
      <c r="C400" s="1" t="str">
        <f t="shared" si="1"/>
        <v>Sub</v>
      </c>
      <c r="D400" s="1">
        <f t="shared" si="2"/>
        <v>2023</v>
      </c>
      <c r="E400" s="1" t="str">
        <f t="shared" si="3"/>
        <v>At Constant 2018 Prices</v>
      </c>
      <c r="F400" s="3">
        <v>6126885.0</v>
      </c>
    </row>
    <row r="401" ht="15.75" customHeight="1">
      <c r="A401" s="1" t="str">
        <f t="array" ref="A401">INDEX(Reference!$A$2:$A$18, INT((ROW()-2)/(18*3*2)) + 1)</f>
        <v>CALABARZON</v>
      </c>
      <c r="B401" s="2" t="str">
        <f t="array" ref="B401">INDEX(Reference!$C$2:$C$19, MOD(ROW()-2, 18) + 1)</f>
        <v>....Manufacturing</v>
      </c>
      <c r="C401" s="1" t="str">
        <f t="shared" si="1"/>
        <v>Sub</v>
      </c>
      <c r="D401" s="1">
        <f t="shared" si="2"/>
        <v>2023</v>
      </c>
      <c r="E401" s="1" t="str">
        <f t="shared" si="3"/>
        <v>At Constant 2018 Prices</v>
      </c>
      <c r="F401" s="3">
        <v>1.286241315E9</v>
      </c>
    </row>
    <row r="402" ht="15.75" customHeight="1">
      <c r="A402" s="1" t="str">
        <f t="array" ref="A402">INDEX(Reference!$A$2:$A$18, INT((ROW()-2)/(18*3*2)) + 1)</f>
        <v>CALABARZON</v>
      </c>
      <c r="B402" s="2" t="str">
        <f t="array" ref="B402">INDEX(Reference!$C$2:$C$19, MOD(ROW()-2, 18) + 1)</f>
        <v>....Electricity, steam, water and waste management</v>
      </c>
      <c r="C402" s="1" t="str">
        <f t="shared" si="1"/>
        <v>Sub</v>
      </c>
      <c r="D402" s="1">
        <f t="shared" si="2"/>
        <v>2023</v>
      </c>
      <c r="E402" s="1" t="str">
        <f t="shared" si="3"/>
        <v>At Constant 2018 Prices</v>
      </c>
      <c r="F402" s="3">
        <v>1.30010832E8</v>
      </c>
    </row>
    <row r="403" ht="15.75" customHeight="1">
      <c r="A403" s="1" t="str">
        <f t="array" ref="A403">INDEX(Reference!$A$2:$A$18, INT((ROW()-2)/(18*3*2)) + 1)</f>
        <v>CALABARZON</v>
      </c>
      <c r="B403" s="2" t="str">
        <f t="array" ref="B403">INDEX(Reference!$C$2:$C$19, MOD(ROW()-2, 18) + 1)</f>
        <v>....Construction</v>
      </c>
      <c r="C403" s="1" t="str">
        <f t="shared" si="1"/>
        <v>Sub</v>
      </c>
      <c r="D403" s="1">
        <f t="shared" si="2"/>
        <v>2023</v>
      </c>
      <c r="E403" s="1" t="str">
        <f t="shared" si="3"/>
        <v>At Constant 2018 Prices</v>
      </c>
      <c r="F403" s="3">
        <v>1.12290333E8</v>
      </c>
    </row>
    <row r="404" ht="15.75" customHeight="1">
      <c r="A404" s="1" t="str">
        <f t="array" ref="A404">INDEX(Reference!$A$2:$A$18, INT((ROW()-2)/(18*3*2)) + 1)</f>
        <v>CALABARZON</v>
      </c>
      <c r="B404" s="2" t="str">
        <f t="array" ref="B404">INDEX(Reference!$C$2:$C$19, MOD(ROW()-2, 18) + 1)</f>
        <v>..Services</v>
      </c>
      <c r="C404" s="1" t="str">
        <f t="shared" si="1"/>
        <v>Main</v>
      </c>
      <c r="D404" s="1">
        <f t="shared" si="2"/>
        <v>2023</v>
      </c>
      <c r="E404" s="1" t="str">
        <f t="shared" si="3"/>
        <v>At Constant 2018 Prices</v>
      </c>
      <c r="F404" s="3">
        <v>1.422219495E9</v>
      </c>
    </row>
    <row r="405" ht="15.75" customHeight="1">
      <c r="A405" s="1" t="str">
        <f t="array" ref="A405">INDEX(Reference!$A$2:$A$18, INT((ROW()-2)/(18*3*2)) + 1)</f>
        <v>CALABARZON</v>
      </c>
      <c r="B405" s="2" t="str">
        <f t="array" ref="B405">INDEX(Reference!$C$2:$C$19, MOD(ROW()-2, 18) + 1)</f>
        <v>....Wholesale and retail trade; repair of motor vehicles and motorcycles</v>
      </c>
      <c r="C405" s="1" t="str">
        <f t="shared" si="1"/>
        <v>Sub</v>
      </c>
      <c r="D405" s="1">
        <f t="shared" si="2"/>
        <v>2023</v>
      </c>
      <c r="E405" s="1" t="str">
        <f t="shared" si="3"/>
        <v>At Constant 2018 Prices</v>
      </c>
      <c r="F405" s="3">
        <v>4.17729951E8</v>
      </c>
    </row>
    <row r="406" ht="15.75" customHeight="1">
      <c r="A406" s="1" t="str">
        <f t="array" ref="A406">INDEX(Reference!$A$2:$A$18, INT((ROW()-2)/(18*3*2)) + 1)</f>
        <v>CALABARZON</v>
      </c>
      <c r="B406" s="2" t="str">
        <f t="array" ref="B406">INDEX(Reference!$C$2:$C$19, MOD(ROW()-2, 18) + 1)</f>
        <v>....Transportation and storage</v>
      </c>
      <c r="C406" s="1" t="str">
        <f t="shared" si="1"/>
        <v>Sub</v>
      </c>
      <c r="D406" s="1">
        <f t="shared" si="2"/>
        <v>2023</v>
      </c>
      <c r="E406" s="1" t="str">
        <f t="shared" si="3"/>
        <v>At Constant 2018 Prices</v>
      </c>
      <c r="F406" s="3">
        <v>1.06636072E8</v>
      </c>
    </row>
    <row r="407" ht="15.75" customHeight="1">
      <c r="A407" s="1" t="str">
        <f t="array" ref="A407">INDEX(Reference!$A$2:$A$18, INT((ROW()-2)/(18*3*2)) + 1)</f>
        <v>CALABARZON</v>
      </c>
      <c r="B407" s="2" t="str">
        <f t="array" ref="B407">INDEX(Reference!$C$2:$C$19, MOD(ROW()-2, 18) + 1)</f>
        <v>....Accommodation and food service activities</v>
      </c>
      <c r="C407" s="1" t="str">
        <f t="shared" si="1"/>
        <v>Sub</v>
      </c>
      <c r="D407" s="1">
        <f t="shared" si="2"/>
        <v>2023</v>
      </c>
      <c r="E407" s="1" t="str">
        <f t="shared" si="3"/>
        <v>At Constant 2018 Prices</v>
      </c>
      <c r="F407" s="3">
        <v>5.9013516E7</v>
      </c>
    </row>
    <row r="408" ht="15.75" customHeight="1">
      <c r="A408" s="1" t="str">
        <f t="array" ref="A408">INDEX(Reference!$A$2:$A$18, INT((ROW()-2)/(18*3*2)) + 1)</f>
        <v>CALABARZON</v>
      </c>
      <c r="B408" s="2" t="str">
        <f t="array" ref="B408">INDEX(Reference!$C$2:$C$19, MOD(ROW()-2, 18) + 1)</f>
        <v>....Information and communication</v>
      </c>
      <c r="C408" s="1" t="str">
        <f t="shared" si="1"/>
        <v>Sub</v>
      </c>
      <c r="D408" s="1">
        <f t="shared" si="2"/>
        <v>2023</v>
      </c>
      <c r="E408" s="1" t="str">
        <f t="shared" si="3"/>
        <v>At Constant 2018 Prices</v>
      </c>
      <c r="F408" s="3">
        <v>1.34927473E8</v>
      </c>
    </row>
    <row r="409" ht="15.75" customHeight="1">
      <c r="A409" s="1" t="str">
        <f t="array" ref="A409">INDEX(Reference!$A$2:$A$18, INT((ROW()-2)/(18*3*2)) + 1)</f>
        <v>CALABARZON</v>
      </c>
      <c r="B409" s="2" t="str">
        <f t="array" ref="B409">INDEX(Reference!$C$2:$C$19, MOD(ROW()-2, 18) + 1)</f>
        <v>....Financial and insurance activities</v>
      </c>
      <c r="C409" s="1" t="str">
        <f t="shared" si="1"/>
        <v>Sub</v>
      </c>
      <c r="D409" s="1">
        <f t="shared" si="2"/>
        <v>2023</v>
      </c>
      <c r="E409" s="1" t="str">
        <f t="shared" si="3"/>
        <v>At Constant 2018 Prices</v>
      </c>
      <c r="F409" s="3">
        <v>1.48982227E8</v>
      </c>
    </row>
    <row r="410" ht="15.75" customHeight="1">
      <c r="A410" s="1" t="str">
        <f t="array" ref="A410">INDEX(Reference!$A$2:$A$18, INT((ROW()-2)/(18*3*2)) + 1)</f>
        <v>CALABARZON</v>
      </c>
      <c r="B410" s="2" t="str">
        <f t="array" ref="B410">INDEX(Reference!$C$2:$C$19, MOD(ROW()-2, 18) + 1)</f>
        <v>....Real estate and ownership of dwellings</v>
      </c>
      <c r="C410" s="1" t="str">
        <f t="shared" si="1"/>
        <v>Sub</v>
      </c>
      <c r="D410" s="1">
        <f t="shared" si="2"/>
        <v>2023</v>
      </c>
      <c r="E410" s="1" t="str">
        <f t="shared" si="3"/>
        <v>At Constant 2018 Prices</v>
      </c>
      <c r="F410" s="3">
        <v>2.03262491E8</v>
      </c>
    </row>
    <row r="411" ht="15.75" customHeight="1">
      <c r="A411" s="1" t="str">
        <f t="array" ref="A411">INDEX(Reference!$A$2:$A$18, INT((ROW()-2)/(18*3*2)) + 1)</f>
        <v>CALABARZON</v>
      </c>
      <c r="B411" s="2" t="str">
        <f t="array" ref="B411">INDEX(Reference!$C$2:$C$19, MOD(ROW()-2, 18) + 1)</f>
        <v>....Professional and business services</v>
      </c>
      <c r="C411" s="1" t="str">
        <f t="shared" si="1"/>
        <v>Sub</v>
      </c>
      <c r="D411" s="1">
        <f t="shared" si="2"/>
        <v>2023</v>
      </c>
      <c r="E411" s="1" t="str">
        <f t="shared" si="3"/>
        <v>At Constant 2018 Prices</v>
      </c>
      <c r="F411" s="3">
        <v>6.731432E7</v>
      </c>
    </row>
    <row r="412" ht="15.75" customHeight="1">
      <c r="A412" s="1" t="str">
        <f t="array" ref="A412">INDEX(Reference!$A$2:$A$18, INT((ROW()-2)/(18*3*2)) + 1)</f>
        <v>CALABARZON</v>
      </c>
      <c r="B412" s="2" t="str">
        <f t="array" ref="B412">INDEX(Reference!$C$2:$C$19, MOD(ROW()-2, 18) + 1)</f>
        <v>....Public administration and defense; compulsory social activities</v>
      </c>
      <c r="C412" s="1" t="str">
        <f t="shared" si="1"/>
        <v>Sub</v>
      </c>
      <c r="D412" s="1">
        <f t="shared" si="2"/>
        <v>2023</v>
      </c>
      <c r="E412" s="1" t="str">
        <f t="shared" si="3"/>
        <v>At Constant 2018 Prices</v>
      </c>
      <c r="F412" s="3">
        <v>7.1946566E7</v>
      </c>
    </row>
    <row r="413" ht="15.75" customHeight="1">
      <c r="A413" s="1" t="str">
        <f t="array" ref="A413">INDEX(Reference!$A$2:$A$18, INT((ROW()-2)/(18*3*2)) + 1)</f>
        <v>CALABARZON</v>
      </c>
      <c r="B413" s="2" t="str">
        <f t="array" ref="B413">INDEX(Reference!$C$2:$C$19, MOD(ROW()-2, 18) + 1)</f>
        <v>....Education</v>
      </c>
      <c r="C413" s="1" t="str">
        <f t="shared" si="1"/>
        <v>Sub</v>
      </c>
      <c r="D413" s="1">
        <f t="shared" si="2"/>
        <v>2023</v>
      </c>
      <c r="E413" s="1" t="str">
        <f t="shared" si="3"/>
        <v>At Constant 2018 Prices</v>
      </c>
      <c r="F413" s="3">
        <v>1.16179708E8</v>
      </c>
    </row>
    <row r="414" ht="15.75" customHeight="1">
      <c r="A414" s="1" t="str">
        <f t="array" ref="A414">INDEX(Reference!$A$2:$A$18, INT((ROW()-2)/(18*3*2)) + 1)</f>
        <v>CALABARZON</v>
      </c>
      <c r="B414" s="2" t="str">
        <f t="array" ref="B414">INDEX(Reference!$C$2:$C$19, MOD(ROW()-2, 18) + 1)</f>
        <v>....Human health and social work activities</v>
      </c>
      <c r="C414" s="1" t="str">
        <f t="shared" si="1"/>
        <v>Sub</v>
      </c>
      <c r="D414" s="1">
        <f t="shared" si="2"/>
        <v>2023</v>
      </c>
      <c r="E414" s="1" t="str">
        <f t="shared" si="3"/>
        <v>At Constant 2018 Prices</v>
      </c>
      <c r="F414" s="3">
        <v>3.8165294E7</v>
      </c>
    </row>
    <row r="415" ht="15.75" customHeight="1">
      <c r="A415" s="1" t="str">
        <f t="array" ref="A415">INDEX(Reference!$A$2:$A$18, INT((ROW()-2)/(18*3*2)) + 1)</f>
        <v>CALABARZON</v>
      </c>
      <c r="B415" s="2" t="str">
        <f t="array" ref="B415">INDEX(Reference!$C$2:$C$19, MOD(ROW()-2, 18) + 1)</f>
        <v>....Other services</v>
      </c>
      <c r="C415" s="1" t="str">
        <f t="shared" si="1"/>
        <v>Sub</v>
      </c>
      <c r="D415" s="1">
        <f t="shared" si="2"/>
        <v>2023</v>
      </c>
      <c r="E415" s="1" t="str">
        <f t="shared" si="3"/>
        <v>At Constant 2018 Prices</v>
      </c>
      <c r="F415" s="3">
        <v>5.8061877E7</v>
      </c>
    </row>
    <row r="416" ht="15.75" customHeight="1">
      <c r="A416" s="1" t="str">
        <f t="array" ref="A416">INDEX(Reference!$A$2:$A$18, INT((ROW()-2)/(18*3*2)) + 1)</f>
        <v>CALABARZON</v>
      </c>
      <c r="B416" s="2" t="str">
        <f t="array" ref="B416">INDEX(Reference!$C$2:$C$19, MOD(ROW()-2, 18) + 1)</f>
        <v>..Agriculture, forestry, and fishing</v>
      </c>
      <c r="C416" s="1" t="str">
        <f t="shared" si="1"/>
        <v>Main</v>
      </c>
      <c r="D416" s="1">
        <f t="shared" si="2"/>
        <v>2024</v>
      </c>
      <c r="E416" s="1" t="str">
        <f t="shared" si="3"/>
        <v>At Constant 2018 Prices</v>
      </c>
      <c r="F416" s="3">
        <v>1.3636827E8</v>
      </c>
    </row>
    <row r="417" ht="15.75" customHeight="1">
      <c r="A417" s="1" t="str">
        <f t="array" ref="A417">INDEX(Reference!$A$2:$A$18, INT((ROW()-2)/(18*3*2)) + 1)</f>
        <v>CALABARZON</v>
      </c>
      <c r="B417" s="2" t="str">
        <f t="array" ref="B417">INDEX(Reference!$C$2:$C$19, MOD(ROW()-2, 18) + 1)</f>
        <v>..Industry</v>
      </c>
      <c r="C417" s="1" t="str">
        <f t="shared" si="1"/>
        <v>Main</v>
      </c>
      <c r="D417" s="1">
        <f t="shared" si="2"/>
        <v>2024</v>
      </c>
      <c r="E417" s="1" t="str">
        <f t="shared" si="3"/>
        <v>At Constant 2018 Prices</v>
      </c>
      <c r="F417" s="3">
        <v>1.600574773E9</v>
      </c>
    </row>
    <row r="418" ht="15.75" customHeight="1">
      <c r="A418" s="1" t="str">
        <f t="array" ref="A418">INDEX(Reference!$A$2:$A$18, INT((ROW()-2)/(18*3*2)) + 1)</f>
        <v>CALABARZON</v>
      </c>
      <c r="B418" s="2" t="str">
        <f t="array" ref="B418">INDEX(Reference!$C$2:$C$19, MOD(ROW()-2, 18) + 1)</f>
        <v>....Mining and quarrying</v>
      </c>
      <c r="C418" s="1" t="str">
        <f t="shared" si="1"/>
        <v>Sub</v>
      </c>
      <c r="D418" s="1">
        <f t="shared" si="2"/>
        <v>2024</v>
      </c>
      <c r="E418" s="1" t="str">
        <f t="shared" si="3"/>
        <v>At Constant 2018 Prices</v>
      </c>
      <c r="F418" s="3">
        <v>6516745.0</v>
      </c>
    </row>
    <row r="419" ht="15.75" customHeight="1">
      <c r="A419" s="1" t="str">
        <f t="array" ref="A419">INDEX(Reference!$A$2:$A$18, INT((ROW()-2)/(18*3*2)) + 1)</f>
        <v>CALABARZON</v>
      </c>
      <c r="B419" s="2" t="str">
        <f t="array" ref="B419">INDEX(Reference!$C$2:$C$19, MOD(ROW()-2, 18) + 1)</f>
        <v>....Manufacturing</v>
      </c>
      <c r="C419" s="1" t="str">
        <f t="shared" si="1"/>
        <v>Sub</v>
      </c>
      <c r="D419" s="1">
        <f t="shared" si="2"/>
        <v>2024</v>
      </c>
      <c r="E419" s="1" t="str">
        <f t="shared" si="3"/>
        <v>At Constant 2018 Prices</v>
      </c>
      <c r="F419" s="3">
        <v>1.331139113E9</v>
      </c>
    </row>
    <row r="420" ht="15.75" customHeight="1">
      <c r="A420" s="1" t="str">
        <f t="array" ref="A420">INDEX(Reference!$A$2:$A$18, INT((ROW()-2)/(18*3*2)) + 1)</f>
        <v>CALABARZON</v>
      </c>
      <c r="B420" s="2" t="str">
        <f t="array" ref="B420">INDEX(Reference!$C$2:$C$19, MOD(ROW()-2, 18) + 1)</f>
        <v>....Electricity, steam, water and waste management</v>
      </c>
      <c r="C420" s="1" t="str">
        <f t="shared" si="1"/>
        <v>Sub</v>
      </c>
      <c r="D420" s="1">
        <f t="shared" si="2"/>
        <v>2024</v>
      </c>
      <c r="E420" s="1" t="str">
        <f t="shared" si="3"/>
        <v>At Constant 2018 Prices</v>
      </c>
      <c r="F420" s="3">
        <v>1.39129746E8</v>
      </c>
    </row>
    <row r="421" ht="15.75" customHeight="1">
      <c r="A421" s="1" t="str">
        <f t="array" ref="A421">INDEX(Reference!$A$2:$A$18, INT((ROW()-2)/(18*3*2)) + 1)</f>
        <v>CALABARZON</v>
      </c>
      <c r="B421" s="2" t="str">
        <f t="array" ref="B421">INDEX(Reference!$C$2:$C$19, MOD(ROW()-2, 18) + 1)</f>
        <v>....Construction</v>
      </c>
      <c r="C421" s="1" t="str">
        <f t="shared" si="1"/>
        <v>Sub</v>
      </c>
      <c r="D421" s="1">
        <f t="shared" si="2"/>
        <v>2024</v>
      </c>
      <c r="E421" s="1" t="str">
        <f t="shared" si="3"/>
        <v>At Constant 2018 Prices</v>
      </c>
      <c r="F421" s="3">
        <v>1.23789169E8</v>
      </c>
    </row>
    <row r="422" ht="15.75" customHeight="1">
      <c r="A422" s="1" t="str">
        <f t="array" ref="A422">INDEX(Reference!$A$2:$A$18, INT((ROW()-2)/(18*3*2)) + 1)</f>
        <v>CALABARZON</v>
      </c>
      <c r="B422" s="2" t="str">
        <f t="array" ref="B422">INDEX(Reference!$C$2:$C$19, MOD(ROW()-2, 18) + 1)</f>
        <v>..Services</v>
      </c>
      <c r="C422" s="1" t="str">
        <f t="shared" si="1"/>
        <v>Main</v>
      </c>
      <c r="D422" s="1">
        <f t="shared" si="2"/>
        <v>2024</v>
      </c>
      <c r="E422" s="1" t="str">
        <f t="shared" si="3"/>
        <v>At Constant 2018 Prices</v>
      </c>
      <c r="F422" s="3">
        <v>1.529442035E9</v>
      </c>
    </row>
    <row r="423" ht="15.75" customHeight="1">
      <c r="A423" s="1" t="str">
        <f t="array" ref="A423">INDEX(Reference!$A$2:$A$18, INT((ROW()-2)/(18*3*2)) + 1)</f>
        <v>CALABARZON</v>
      </c>
      <c r="B423" s="2" t="str">
        <f t="array" ref="B423">INDEX(Reference!$C$2:$C$19, MOD(ROW()-2, 18) + 1)</f>
        <v>....Wholesale and retail trade; repair of motor vehicles and motorcycles</v>
      </c>
      <c r="C423" s="1" t="str">
        <f t="shared" si="1"/>
        <v>Sub</v>
      </c>
      <c r="D423" s="1">
        <f t="shared" si="2"/>
        <v>2024</v>
      </c>
      <c r="E423" s="1" t="str">
        <f t="shared" si="3"/>
        <v>At Constant 2018 Prices</v>
      </c>
      <c r="F423" s="3">
        <v>4.43068386E8</v>
      </c>
    </row>
    <row r="424" ht="15.75" customHeight="1">
      <c r="A424" s="1" t="str">
        <f t="array" ref="A424">INDEX(Reference!$A$2:$A$18, INT((ROW()-2)/(18*3*2)) + 1)</f>
        <v>CALABARZON</v>
      </c>
      <c r="B424" s="2" t="str">
        <f t="array" ref="B424">INDEX(Reference!$C$2:$C$19, MOD(ROW()-2, 18) + 1)</f>
        <v>....Transportation and storage</v>
      </c>
      <c r="C424" s="1" t="str">
        <f t="shared" si="1"/>
        <v>Sub</v>
      </c>
      <c r="D424" s="1">
        <f t="shared" si="2"/>
        <v>2024</v>
      </c>
      <c r="E424" s="1" t="str">
        <f t="shared" si="3"/>
        <v>At Constant 2018 Prices</v>
      </c>
      <c r="F424" s="3">
        <v>1.14272881E8</v>
      </c>
    </row>
    <row r="425" ht="15.75" customHeight="1">
      <c r="A425" s="1" t="str">
        <f t="array" ref="A425">INDEX(Reference!$A$2:$A$18, INT((ROW()-2)/(18*3*2)) + 1)</f>
        <v>CALABARZON</v>
      </c>
      <c r="B425" s="2" t="str">
        <f t="array" ref="B425">INDEX(Reference!$C$2:$C$19, MOD(ROW()-2, 18) + 1)</f>
        <v>....Accommodation and food service activities</v>
      </c>
      <c r="C425" s="1" t="str">
        <f t="shared" si="1"/>
        <v>Sub</v>
      </c>
      <c r="D425" s="1">
        <f t="shared" si="2"/>
        <v>2024</v>
      </c>
      <c r="E425" s="1" t="str">
        <f t="shared" si="3"/>
        <v>At Constant 2018 Prices</v>
      </c>
      <c r="F425" s="3">
        <v>6.5852122E7</v>
      </c>
    </row>
    <row r="426" ht="15.75" customHeight="1">
      <c r="A426" s="1" t="str">
        <f t="array" ref="A426">INDEX(Reference!$A$2:$A$18, INT((ROW()-2)/(18*3*2)) + 1)</f>
        <v>CALABARZON</v>
      </c>
      <c r="B426" s="2" t="str">
        <f t="array" ref="B426">INDEX(Reference!$C$2:$C$19, MOD(ROW()-2, 18) + 1)</f>
        <v>....Information and communication</v>
      </c>
      <c r="C426" s="1" t="str">
        <f t="shared" si="1"/>
        <v>Sub</v>
      </c>
      <c r="D426" s="1">
        <f t="shared" si="2"/>
        <v>2024</v>
      </c>
      <c r="E426" s="1" t="str">
        <f t="shared" si="3"/>
        <v>At Constant 2018 Prices</v>
      </c>
      <c r="F426" s="3">
        <v>1.39693896E8</v>
      </c>
    </row>
    <row r="427" ht="15.75" customHeight="1">
      <c r="A427" s="1" t="str">
        <f t="array" ref="A427">INDEX(Reference!$A$2:$A$18, INT((ROW()-2)/(18*3*2)) + 1)</f>
        <v>CALABARZON</v>
      </c>
      <c r="B427" s="2" t="str">
        <f t="array" ref="B427">INDEX(Reference!$C$2:$C$19, MOD(ROW()-2, 18) + 1)</f>
        <v>....Financial and insurance activities</v>
      </c>
      <c r="C427" s="1" t="str">
        <f t="shared" si="1"/>
        <v>Sub</v>
      </c>
      <c r="D427" s="1">
        <f t="shared" si="2"/>
        <v>2024</v>
      </c>
      <c r="E427" s="1" t="str">
        <f t="shared" si="3"/>
        <v>At Constant 2018 Prices</v>
      </c>
      <c r="F427" s="3">
        <v>1.68406303E8</v>
      </c>
    </row>
    <row r="428" ht="15.75" customHeight="1">
      <c r="A428" s="1" t="str">
        <f t="array" ref="A428">INDEX(Reference!$A$2:$A$18, INT((ROW()-2)/(18*3*2)) + 1)</f>
        <v>CALABARZON</v>
      </c>
      <c r="B428" s="2" t="str">
        <f t="array" ref="B428">INDEX(Reference!$C$2:$C$19, MOD(ROW()-2, 18) + 1)</f>
        <v>....Real estate and ownership of dwellings</v>
      </c>
      <c r="C428" s="1" t="str">
        <f t="shared" si="1"/>
        <v>Sub</v>
      </c>
      <c r="D428" s="1">
        <f t="shared" si="2"/>
        <v>2024</v>
      </c>
      <c r="E428" s="1" t="str">
        <f t="shared" si="3"/>
        <v>At Constant 2018 Prices</v>
      </c>
      <c r="F428" s="3">
        <v>2.13138979E8</v>
      </c>
    </row>
    <row r="429" ht="15.75" customHeight="1">
      <c r="A429" s="1" t="str">
        <f t="array" ref="A429">INDEX(Reference!$A$2:$A$18, INT((ROW()-2)/(18*3*2)) + 1)</f>
        <v>CALABARZON</v>
      </c>
      <c r="B429" s="2" t="str">
        <f t="array" ref="B429">INDEX(Reference!$C$2:$C$19, MOD(ROW()-2, 18) + 1)</f>
        <v>....Professional and business services</v>
      </c>
      <c r="C429" s="1" t="str">
        <f t="shared" si="1"/>
        <v>Sub</v>
      </c>
      <c r="D429" s="1">
        <f t="shared" si="2"/>
        <v>2024</v>
      </c>
      <c r="E429" s="1" t="str">
        <f t="shared" si="3"/>
        <v>At Constant 2018 Prices</v>
      </c>
      <c r="F429" s="3">
        <v>7.2519888E7</v>
      </c>
    </row>
    <row r="430" ht="15.75" customHeight="1">
      <c r="A430" s="1" t="str">
        <f t="array" ref="A430">INDEX(Reference!$A$2:$A$18, INT((ROW()-2)/(18*3*2)) + 1)</f>
        <v>CALABARZON</v>
      </c>
      <c r="B430" s="2" t="str">
        <f t="array" ref="B430">INDEX(Reference!$C$2:$C$19, MOD(ROW()-2, 18) + 1)</f>
        <v>....Public administration and defense; compulsory social activities</v>
      </c>
      <c r="C430" s="1" t="str">
        <f t="shared" si="1"/>
        <v>Sub</v>
      </c>
      <c r="D430" s="1">
        <f t="shared" si="2"/>
        <v>2024</v>
      </c>
      <c r="E430" s="1" t="str">
        <f t="shared" si="3"/>
        <v>At Constant 2018 Prices</v>
      </c>
      <c r="F430" s="3">
        <v>8.0387034E7</v>
      </c>
    </row>
    <row r="431" ht="15.75" customHeight="1">
      <c r="A431" s="1" t="str">
        <f t="array" ref="A431">INDEX(Reference!$A$2:$A$18, INT((ROW()-2)/(18*3*2)) + 1)</f>
        <v>CALABARZON</v>
      </c>
      <c r="B431" s="2" t="str">
        <f t="array" ref="B431">INDEX(Reference!$C$2:$C$19, MOD(ROW()-2, 18) + 1)</f>
        <v>....Education</v>
      </c>
      <c r="C431" s="1" t="str">
        <f t="shared" si="1"/>
        <v>Sub</v>
      </c>
      <c r="D431" s="1">
        <f t="shared" si="2"/>
        <v>2024</v>
      </c>
      <c r="E431" s="1" t="str">
        <f t="shared" si="3"/>
        <v>At Constant 2018 Prices</v>
      </c>
      <c r="F431" s="3">
        <v>1.25405164E8</v>
      </c>
    </row>
    <row r="432" ht="15.75" customHeight="1">
      <c r="A432" s="1" t="str">
        <f t="array" ref="A432">INDEX(Reference!$A$2:$A$18, INT((ROW()-2)/(18*3*2)) + 1)</f>
        <v>CALABARZON</v>
      </c>
      <c r="B432" s="2" t="str">
        <f t="array" ref="B432">INDEX(Reference!$C$2:$C$19, MOD(ROW()-2, 18) + 1)</f>
        <v>....Human health and social work activities</v>
      </c>
      <c r="C432" s="1" t="str">
        <f t="shared" si="1"/>
        <v>Sub</v>
      </c>
      <c r="D432" s="1">
        <f t="shared" si="2"/>
        <v>2024</v>
      </c>
      <c r="E432" s="1" t="str">
        <f t="shared" si="3"/>
        <v>At Constant 2018 Prices</v>
      </c>
      <c r="F432" s="3">
        <v>4.3064973E7</v>
      </c>
    </row>
    <row r="433" ht="15.75" customHeight="1">
      <c r="A433" s="1" t="str">
        <f t="array" ref="A433">INDEX(Reference!$A$2:$A$18, INT((ROW()-2)/(18*3*2)) + 1)</f>
        <v>CALABARZON</v>
      </c>
      <c r="B433" s="2" t="str">
        <f t="array" ref="B433">INDEX(Reference!$C$2:$C$19, MOD(ROW()-2, 18) + 1)</f>
        <v>....Other services</v>
      </c>
      <c r="C433" s="1" t="str">
        <f t="shared" si="1"/>
        <v>Sub</v>
      </c>
      <c r="D433" s="1">
        <f t="shared" si="2"/>
        <v>2024</v>
      </c>
      <c r="E433" s="1" t="str">
        <f t="shared" si="3"/>
        <v>At Constant 2018 Prices</v>
      </c>
      <c r="F433" s="3">
        <v>6.3632409E7</v>
      </c>
    </row>
    <row r="434" ht="15.75" customHeight="1">
      <c r="A434" s="1" t="str">
        <f t="array" ref="A434">INDEX(Reference!$A$2:$A$18, INT((ROW()-2)/(18*3*2)) + 1)</f>
        <v>Caraga</v>
      </c>
      <c r="B434" s="2" t="str">
        <f t="array" ref="B434">INDEX(Reference!$C$2:$C$19, MOD(ROW()-2, 18) + 1)</f>
        <v>..Agriculture, forestry, and fishing</v>
      </c>
      <c r="C434" s="1" t="str">
        <f t="shared" si="1"/>
        <v>Main</v>
      </c>
      <c r="D434" s="1">
        <f t="shared" si="2"/>
        <v>2022</v>
      </c>
      <c r="E434" s="1" t="str">
        <f t="shared" si="3"/>
        <v>At Current Prices</v>
      </c>
      <c r="F434" s="3">
        <v>4.7497957E7</v>
      </c>
    </row>
    <row r="435" ht="15.75" customHeight="1">
      <c r="A435" s="1" t="str">
        <f t="array" ref="A435">INDEX(Reference!$A$2:$A$18, INT((ROW()-2)/(18*3*2)) + 1)</f>
        <v>Caraga</v>
      </c>
      <c r="B435" s="2" t="str">
        <f t="array" ref="B435">INDEX(Reference!$C$2:$C$19, MOD(ROW()-2, 18) + 1)</f>
        <v>..Industry</v>
      </c>
      <c r="C435" s="1" t="str">
        <f t="shared" si="1"/>
        <v>Main</v>
      </c>
      <c r="D435" s="1">
        <f t="shared" si="2"/>
        <v>2022</v>
      </c>
      <c r="E435" s="1" t="str">
        <f t="shared" si="3"/>
        <v>At Current Prices</v>
      </c>
      <c r="F435" s="3">
        <v>1.35299423E8</v>
      </c>
    </row>
    <row r="436" ht="15.75" customHeight="1">
      <c r="A436" s="1" t="str">
        <f t="array" ref="A436">INDEX(Reference!$A$2:$A$18, INT((ROW()-2)/(18*3*2)) + 1)</f>
        <v>Caraga</v>
      </c>
      <c r="B436" s="2" t="str">
        <f t="array" ref="B436">INDEX(Reference!$C$2:$C$19, MOD(ROW()-2, 18) + 1)</f>
        <v>....Mining and quarrying</v>
      </c>
      <c r="C436" s="1" t="str">
        <f t="shared" si="1"/>
        <v>Sub</v>
      </c>
      <c r="D436" s="1">
        <f t="shared" si="2"/>
        <v>2022</v>
      </c>
      <c r="E436" s="1" t="str">
        <f t="shared" si="3"/>
        <v>At Current Prices</v>
      </c>
      <c r="F436" s="3">
        <v>4.6281933E7</v>
      </c>
    </row>
    <row r="437" ht="15.75" customHeight="1">
      <c r="A437" s="1" t="str">
        <f t="array" ref="A437">INDEX(Reference!$A$2:$A$18, INT((ROW()-2)/(18*3*2)) + 1)</f>
        <v>Caraga</v>
      </c>
      <c r="B437" s="2" t="str">
        <f t="array" ref="B437">INDEX(Reference!$C$2:$C$19, MOD(ROW()-2, 18) + 1)</f>
        <v>....Manufacturing</v>
      </c>
      <c r="C437" s="1" t="str">
        <f t="shared" si="1"/>
        <v>Sub</v>
      </c>
      <c r="D437" s="1">
        <f t="shared" si="2"/>
        <v>2022</v>
      </c>
      <c r="E437" s="1" t="str">
        <f t="shared" si="3"/>
        <v>At Current Prices</v>
      </c>
      <c r="F437" s="3">
        <v>4.3343514E7</v>
      </c>
    </row>
    <row r="438" ht="15.75" customHeight="1">
      <c r="A438" s="1" t="str">
        <f t="array" ref="A438">INDEX(Reference!$A$2:$A$18, INT((ROW()-2)/(18*3*2)) + 1)</f>
        <v>Caraga</v>
      </c>
      <c r="B438" s="2" t="str">
        <f t="array" ref="B438">INDEX(Reference!$C$2:$C$19, MOD(ROW()-2, 18) + 1)</f>
        <v>....Electricity, steam, water and waste management</v>
      </c>
      <c r="C438" s="1" t="str">
        <f t="shared" si="1"/>
        <v>Sub</v>
      </c>
      <c r="D438" s="1">
        <f t="shared" si="2"/>
        <v>2022</v>
      </c>
      <c r="E438" s="1" t="str">
        <f t="shared" si="3"/>
        <v>At Current Prices</v>
      </c>
      <c r="F438" s="3">
        <v>1.133732E7</v>
      </c>
    </row>
    <row r="439" ht="15.75" customHeight="1">
      <c r="A439" s="1" t="str">
        <f t="array" ref="A439">INDEX(Reference!$A$2:$A$18, INT((ROW()-2)/(18*3*2)) + 1)</f>
        <v>Caraga</v>
      </c>
      <c r="B439" s="2" t="str">
        <f t="array" ref="B439">INDEX(Reference!$C$2:$C$19, MOD(ROW()-2, 18) + 1)</f>
        <v>....Construction</v>
      </c>
      <c r="C439" s="1" t="str">
        <f t="shared" si="1"/>
        <v>Sub</v>
      </c>
      <c r="D439" s="1">
        <f t="shared" si="2"/>
        <v>2022</v>
      </c>
      <c r="E439" s="1" t="str">
        <f t="shared" si="3"/>
        <v>At Current Prices</v>
      </c>
      <c r="F439" s="3">
        <v>3.4336656E7</v>
      </c>
    </row>
    <row r="440" ht="15.75" customHeight="1">
      <c r="A440" s="1" t="str">
        <f t="array" ref="A440">INDEX(Reference!$A$2:$A$18, INT((ROW()-2)/(18*3*2)) + 1)</f>
        <v>Caraga</v>
      </c>
      <c r="B440" s="2" t="str">
        <f t="array" ref="B440">INDEX(Reference!$C$2:$C$19, MOD(ROW()-2, 18) + 1)</f>
        <v>..Services</v>
      </c>
      <c r="C440" s="1" t="str">
        <f t="shared" si="1"/>
        <v>Main</v>
      </c>
      <c r="D440" s="1">
        <f t="shared" si="2"/>
        <v>2022</v>
      </c>
      <c r="E440" s="1" t="str">
        <f t="shared" si="3"/>
        <v>At Current Prices</v>
      </c>
      <c r="F440" s="3">
        <v>1.94046485E8</v>
      </c>
    </row>
    <row r="441" ht="15.75" customHeight="1">
      <c r="A441" s="1" t="str">
        <f t="array" ref="A441">INDEX(Reference!$A$2:$A$18, INT((ROW()-2)/(18*3*2)) + 1)</f>
        <v>Caraga</v>
      </c>
      <c r="B441" s="2" t="str">
        <f t="array" ref="B441">INDEX(Reference!$C$2:$C$19, MOD(ROW()-2, 18) + 1)</f>
        <v>....Wholesale and retail trade; repair of motor vehicles and motorcycles</v>
      </c>
      <c r="C441" s="1" t="str">
        <f t="shared" si="1"/>
        <v>Sub</v>
      </c>
      <c r="D441" s="1">
        <f t="shared" si="2"/>
        <v>2022</v>
      </c>
      <c r="E441" s="1" t="str">
        <f t="shared" si="3"/>
        <v>At Current Prices</v>
      </c>
      <c r="F441" s="3">
        <v>3.8767477E7</v>
      </c>
    </row>
    <row r="442" ht="15.75" customHeight="1">
      <c r="A442" s="1" t="str">
        <f t="array" ref="A442">INDEX(Reference!$A$2:$A$18, INT((ROW()-2)/(18*3*2)) + 1)</f>
        <v>Caraga</v>
      </c>
      <c r="B442" s="2" t="str">
        <f t="array" ref="B442">INDEX(Reference!$C$2:$C$19, MOD(ROW()-2, 18) + 1)</f>
        <v>....Transportation and storage</v>
      </c>
      <c r="C442" s="1" t="str">
        <f t="shared" si="1"/>
        <v>Sub</v>
      </c>
      <c r="D442" s="1">
        <f t="shared" si="2"/>
        <v>2022</v>
      </c>
      <c r="E442" s="1" t="str">
        <f t="shared" si="3"/>
        <v>At Current Prices</v>
      </c>
      <c r="F442" s="3">
        <v>1.7464833E7</v>
      </c>
    </row>
    <row r="443" ht="15.75" customHeight="1">
      <c r="A443" s="1" t="str">
        <f t="array" ref="A443">INDEX(Reference!$A$2:$A$18, INT((ROW()-2)/(18*3*2)) + 1)</f>
        <v>Caraga</v>
      </c>
      <c r="B443" s="2" t="str">
        <f t="array" ref="B443">INDEX(Reference!$C$2:$C$19, MOD(ROW()-2, 18) + 1)</f>
        <v>....Accommodation and food service activities</v>
      </c>
      <c r="C443" s="1" t="str">
        <f t="shared" si="1"/>
        <v>Sub</v>
      </c>
      <c r="D443" s="1">
        <f t="shared" si="2"/>
        <v>2022</v>
      </c>
      <c r="E443" s="1" t="str">
        <f t="shared" si="3"/>
        <v>At Current Prices</v>
      </c>
      <c r="F443" s="3">
        <v>8070262.0</v>
      </c>
    </row>
    <row r="444" ht="15.75" customHeight="1">
      <c r="A444" s="1" t="str">
        <f t="array" ref="A444">INDEX(Reference!$A$2:$A$18, INT((ROW()-2)/(18*3*2)) + 1)</f>
        <v>Caraga</v>
      </c>
      <c r="B444" s="2" t="str">
        <f t="array" ref="B444">INDEX(Reference!$C$2:$C$19, MOD(ROW()-2, 18) + 1)</f>
        <v>....Information and communication</v>
      </c>
      <c r="C444" s="1" t="str">
        <f t="shared" si="1"/>
        <v>Sub</v>
      </c>
      <c r="D444" s="1">
        <f t="shared" si="2"/>
        <v>2022</v>
      </c>
      <c r="E444" s="1" t="str">
        <f t="shared" si="3"/>
        <v>At Current Prices</v>
      </c>
      <c r="F444" s="3">
        <v>1.1254501E7</v>
      </c>
    </row>
    <row r="445" ht="15.75" customHeight="1">
      <c r="A445" s="1" t="str">
        <f t="array" ref="A445">INDEX(Reference!$A$2:$A$18, INT((ROW()-2)/(18*3*2)) + 1)</f>
        <v>Caraga</v>
      </c>
      <c r="B445" s="2" t="str">
        <f t="array" ref="B445">INDEX(Reference!$C$2:$C$19, MOD(ROW()-2, 18) + 1)</f>
        <v>....Financial and insurance activities</v>
      </c>
      <c r="C445" s="1" t="str">
        <f t="shared" si="1"/>
        <v>Sub</v>
      </c>
      <c r="D445" s="1">
        <f t="shared" si="2"/>
        <v>2022</v>
      </c>
      <c r="E445" s="1" t="str">
        <f t="shared" si="3"/>
        <v>At Current Prices</v>
      </c>
      <c r="F445" s="3">
        <v>4.8663505E7</v>
      </c>
    </row>
    <row r="446" ht="15.75" customHeight="1">
      <c r="A446" s="1" t="str">
        <f t="array" ref="A446">INDEX(Reference!$A$2:$A$18, INT((ROW()-2)/(18*3*2)) + 1)</f>
        <v>Caraga</v>
      </c>
      <c r="B446" s="2" t="str">
        <f t="array" ref="B446">INDEX(Reference!$C$2:$C$19, MOD(ROW()-2, 18) + 1)</f>
        <v>....Real estate and ownership of dwellings</v>
      </c>
      <c r="C446" s="1" t="str">
        <f t="shared" si="1"/>
        <v>Sub</v>
      </c>
      <c r="D446" s="1">
        <f t="shared" si="2"/>
        <v>2022</v>
      </c>
      <c r="E446" s="1" t="str">
        <f t="shared" si="3"/>
        <v>At Current Prices</v>
      </c>
      <c r="F446" s="3">
        <v>1.3689669E7</v>
      </c>
    </row>
    <row r="447" ht="15.75" customHeight="1">
      <c r="A447" s="1" t="str">
        <f t="array" ref="A447">INDEX(Reference!$A$2:$A$18, INT((ROW()-2)/(18*3*2)) + 1)</f>
        <v>Caraga</v>
      </c>
      <c r="B447" s="2" t="str">
        <f t="array" ref="B447">INDEX(Reference!$C$2:$C$19, MOD(ROW()-2, 18) + 1)</f>
        <v>....Professional and business services</v>
      </c>
      <c r="C447" s="1" t="str">
        <f t="shared" si="1"/>
        <v>Sub</v>
      </c>
      <c r="D447" s="1">
        <f t="shared" si="2"/>
        <v>2022</v>
      </c>
      <c r="E447" s="1" t="str">
        <f t="shared" si="3"/>
        <v>At Current Prices</v>
      </c>
      <c r="F447" s="3">
        <v>2362165.0</v>
      </c>
    </row>
    <row r="448" ht="15.75" customHeight="1">
      <c r="A448" s="1" t="str">
        <f t="array" ref="A448">INDEX(Reference!$A$2:$A$18, INT((ROW()-2)/(18*3*2)) + 1)</f>
        <v>Caraga</v>
      </c>
      <c r="B448" s="2" t="str">
        <f t="array" ref="B448">INDEX(Reference!$C$2:$C$19, MOD(ROW()-2, 18) + 1)</f>
        <v>....Public administration and defense; compulsory social activities</v>
      </c>
      <c r="C448" s="1" t="str">
        <f t="shared" si="1"/>
        <v>Sub</v>
      </c>
      <c r="D448" s="1">
        <f t="shared" si="2"/>
        <v>2022</v>
      </c>
      <c r="E448" s="1" t="str">
        <f t="shared" si="3"/>
        <v>At Current Prices</v>
      </c>
      <c r="F448" s="3">
        <v>1.8065338E7</v>
      </c>
    </row>
    <row r="449" ht="15.75" customHeight="1">
      <c r="A449" s="1" t="str">
        <f t="array" ref="A449">INDEX(Reference!$A$2:$A$18, INT((ROW()-2)/(18*3*2)) + 1)</f>
        <v>Caraga</v>
      </c>
      <c r="B449" s="2" t="str">
        <f t="array" ref="B449">INDEX(Reference!$C$2:$C$19, MOD(ROW()-2, 18) + 1)</f>
        <v>....Education</v>
      </c>
      <c r="C449" s="1" t="str">
        <f t="shared" si="1"/>
        <v>Sub</v>
      </c>
      <c r="D449" s="1">
        <f t="shared" si="2"/>
        <v>2022</v>
      </c>
      <c r="E449" s="1" t="str">
        <f t="shared" si="3"/>
        <v>At Current Prices</v>
      </c>
      <c r="F449" s="3">
        <v>2.2016279E7</v>
      </c>
    </row>
    <row r="450" ht="15.75" customHeight="1">
      <c r="A450" s="1" t="str">
        <f t="array" ref="A450">INDEX(Reference!$A$2:$A$18, INT((ROW()-2)/(18*3*2)) + 1)</f>
        <v>Caraga</v>
      </c>
      <c r="B450" s="2" t="str">
        <f t="array" ref="B450">INDEX(Reference!$C$2:$C$19, MOD(ROW()-2, 18) + 1)</f>
        <v>....Human health and social work activities</v>
      </c>
      <c r="C450" s="1" t="str">
        <f t="shared" si="1"/>
        <v>Sub</v>
      </c>
      <c r="D450" s="1">
        <f t="shared" si="2"/>
        <v>2022</v>
      </c>
      <c r="E450" s="1" t="str">
        <f t="shared" si="3"/>
        <v>At Current Prices</v>
      </c>
      <c r="F450" s="3">
        <v>1.0243543E7</v>
      </c>
    </row>
    <row r="451" ht="15.75" customHeight="1">
      <c r="A451" s="1" t="str">
        <f t="array" ref="A451">INDEX(Reference!$A$2:$A$18, INT((ROW()-2)/(18*3*2)) + 1)</f>
        <v>Caraga</v>
      </c>
      <c r="B451" s="2" t="str">
        <f t="array" ref="B451">INDEX(Reference!$C$2:$C$19, MOD(ROW()-2, 18) + 1)</f>
        <v>....Other services</v>
      </c>
      <c r="C451" s="1" t="str">
        <f t="shared" si="1"/>
        <v>Sub</v>
      </c>
      <c r="D451" s="1">
        <f t="shared" si="2"/>
        <v>2022</v>
      </c>
      <c r="E451" s="1" t="str">
        <f t="shared" si="3"/>
        <v>At Current Prices</v>
      </c>
      <c r="F451" s="3">
        <v>3448915.0</v>
      </c>
    </row>
    <row r="452" ht="15.75" customHeight="1">
      <c r="A452" s="1" t="str">
        <f t="array" ref="A452">INDEX(Reference!$A$2:$A$18, INT((ROW()-2)/(18*3*2)) + 1)</f>
        <v>Caraga</v>
      </c>
      <c r="B452" s="2" t="str">
        <f t="array" ref="B452">INDEX(Reference!$C$2:$C$19, MOD(ROW()-2, 18) + 1)</f>
        <v>..Agriculture, forestry, and fishing</v>
      </c>
      <c r="C452" s="1" t="str">
        <f t="shared" si="1"/>
        <v>Main</v>
      </c>
      <c r="D452" s="1">
        <f t="shared" si="2"/>
        <v>2023</v>
      </c>
      <c r="E452" s="1" t="str">
        <f t="shared" si="3"/>
        <v>At Current Prices</v>
      </c>
      <c r="F452" s="3">
        <v>4.7183868E7</v>
      </c>
    </row>
    <row r="453" ht="15.75" customHeight="1">
      <c r="A453" s="1" t="str">
        <f t="array" ref="A453">INDEX(Reference!$A$2:$A$18, INT((ROW()-2)/(18*3*2)) + 1)</f>
        <v>Caraga</v>
      </c>
      <c r="B453" s="2" t="str">
        <f t="array" ref="B453">INDEX(Reference!$C$2:$C$19, MOD(ROW()-2, 18) + 1)</f>
        <v>..Industry</v>
      </c>
      <c r="C453" s="1" t="str">
        <f t="shared" si="1"/>
        <v>Main</v>
      </c>
      <c r="D453" s="1">
        <f t="shared" si="2"/>
        <v>2023</v>
      </c>
      <c r="E453" s="1" t="str">
        <f t="shared" si="3"/>
        <v>At Current Prices</v>
      </c>
      <c r="F453" s="3">
        <v>1.41122863E8</v>
      </c>
    </row>
    <row r="454" ht="15.75" customHeight="1">
      <c r="A454" s="1" t="str">
        <f t="array" ref="A454">INDEX(Reference!$A$2:$A$18, INT((ROW()-2)/(18*3*2)) + 1)</f>
        <v>Caraga</v>
      </c>
      <c r="B454" s="2" t="str">
        <f t="array" ref="B454">INDEX(Reference!$C$2:$C$19, MOD(ROW()-2, 18) + 1)</f>
        <v>....Mining and quarrying</v>
      </c>
      <c r="C454" s="1" t="str">
        <f t="shared" si="1"/>
        <v>Sub</v>
      </c>
      <c r="D454" s="1">
        <f t="shared" si="2"/>
        <v>2023</v>
      </c>
      <c r="E454" s="1" t="str">
        <f t="shared" si="3"/>
        <v>At Current Prices</v>
      </c>
      <c r="F454" s="3">
        <v>4.8153439E7</v>
      </c>
    </row>
    <row r="455" ht="15.75" customHeight="1">
      <c r="A455" s="1" t="str">
        <f t="array" ref="A455">INDEX(Reference!$A$2:$A$18, INT((ROW()-2)/(18*3*2)) + 1)</f>
        <v>Caraga</v>
      </c>
      <c r="B455" s="2" t="str">
        <f t="array" ref="B455">INDEX(Reference!$C$2:$C$19, MOD(ROW()-2, 18) + 1)</f>
        <v>....Manufacturing</v>
      </c>
      <c r="C455" s="1" t="str">
        <f t="shared" si="1"/>
        <v>Sub</v>
      </c>
      <c r="D455" s="1">
        <f t="shared" si="2"/>
        <v>2023</v>
      </c>
      <c r="E455" s="1" t="str">
        <f t="shared" si="3"/>
        <v>At Current Prices</v>
      </c>
      <c r="F455" s="3">
        <v>4.2747606E7</v>
      </c>
    </row>
    <row r="456" ht="15.75" customHeight="1">
      <c r="A456" s="1" t="str">
        <f t="array" ref="A456">INDEX(Reference!$A$2:$A$18, INT((ROW()-2)/(18*3*2)) + 1)</f>
        <v>Caraga</v>
      </c>
      <c r="B456" s="2" t="str">
        <f t="array" ref="B456">INDEX(Reference!$C$2:$C$19, MOD(ROW()-2, 18) + 1)</f>
        <v>....Electricity, steam, water and waste management</v>
      </c>
      <c r="C456" s="1" t="str">
        <f t="shared" si="1"/>
        <v>Sub</v>
      </c>
      <c r="D456" s="1">
        <f t="shared" si="2"/>
        <v>2023</v>
      </c>
      <c r="E456" s="1" t="str">
        <f t="shared" si="3"/>
        <v>At Current Prices</v>
      </c>
      <c r="F456" s="3">
        <v>1.3337478E7</v>
      </c>
    </row>
    <row r="457" ht="15.75" customHeight="1">
      <c r="A457" s="1" t="str">
        <f t="array" ref="A457">INDEX(Reference!$A$2:$A$18, INT((ROW()-2)/(18*3*2)) + 1)</f>
        <v>Caraga</v>
      </c>
      <c r="B457" s="2" t="str">
        <f t="array" ref="B457">INDEX(Reference!$C$2:$C$19, MOD(ROW()-2, 18) + 1)</f>
        <v>....Construction</v>
      </c>
      <c r="C457" s="1" t="str">
        <f t="shared" si="1"/>
        <v>Sub</v>
      </c>
      <c r="D457" s="1">
        <f t="shared" si="2"/>
        <v>2023</v>
      </c>
      <c r="E457" s="1" t="str">
        <f t="shared" si="3"/>
        <v>At Current Prices</v>
      </c>
      <c r="F457" s="3">
        <v>3.688434E7</v>
      </c>
    </row>
    <row r="458" ht="15.75" customHeight="1">
      <c r="A458" s="1" t="str">
        <f t="array" ref="A458">INDEX(Reference!$A$2:$A$18, INT((ROW()-2)/(18*3*2)) + 1)</f>
        <v>Caraga</v>
      </c>
      <c r="B458" s="2" t="str">
        <f t="array" ref="B458">INDEX(Reference!$C$2:$C$19, MOD(ROW()-2, 18) + 1)</f>
        <v>..Services</v>
      </c>
      <c r="C458" s="1" t="str">
        <f t="shared" si="1"/>
        <v>Main</v>
      </c>
      <c r="D458" s="1">
        <f t="shared" si="2"/>
        <v>2023</v>
      </c>
      <c r="E458" s="1" t="str">
        <f t="shared" si="3"/>
        <v>At Current Prices</v>
      </c>
      <c r="F458" s="3">
        <v>2.17362193E8</v>
      </c>
    </row>
    <row r="459" ht="15.75" customHeight="1">
      <c r="A459" s="1" t="str">
        <f t="array" ref="A459">INDEX(Reference!$A$2:$A$18, INT((ROW()-2)/(18*3*2)) + 1)</f>
        <v>Caraga</v>
      </c>
      <c r="B459" s="2" t="str">
        <f t="array" ref="B459">INDEX(Reference!$C$2:$C$19, MOD(ROW()-2, 18) + 1)</f>
        <v>....Wholesale and retail trade; repair of motor vehicles and motorcycles</v>
      </c>
      <c r="C459" s="1" t="str">
        <f t="shared" si="1"/>
        <v>Sub</v>
      </c>
      <c r="D459" s="1">
        <f t="shared" si="2"/>
        <v>2023</v>
      </c>
      <c r="E459" s="1" t="str">
        <f t="shared" si="3"/>
        <v>At Current Prices</v>
      </c>
      <c r="F459" s="3">
        <v>4.2641108E7</v>
      </c>
    </row>
    <row r="460" ht="15.75" customHeight="1">
      <c r="A460" s="1" t="str">
        <f t="array" ref="A460">INDEX(Reference!$A$2:$A$18, INT((ROW()-2)/(18*3*2)) + 1)</f>
        <v>Caraga</v>
      </c>
      <c r="B460" s="2" t="str">
        <f t="array" ref="B460">INDEX(Reference!$C$2:$C$19, MOD(ROW()-2, 18) + 1)</f>
        <v>....Transportation and storage</v>
      </c>
      <c r="C460" s="1" t="str">
        <f t="shared" si="1"/>
        <v>Sub</v>
      </c>
      <c r="D460" s="1">
        <f t="shared" si="2"/>
        <v>2023</v>
      </c>
      <c r="E460" s="1" t="str">
        <f t="shared" si="3"/>
        <v>At Current Prices</v>
      </c>
      <c r="F460" s="3">
        <v>2.0735799E7</v>
      </c>
    </row>
    <row r="461" ht="15.75" customHeight="1">
      <c r="A461" s="1" t="str">
        <f t="array" ref="A461">INDEX(Reference!$A$2:$A$18, INT((ROW()-2)/(18*3*2)) + 1)</f>
        <v>Caraga</v>
      </c>
      <c r="B461" s="2" t="str">
        <f t="array" ref="B461">INDEX(Reference!$C$2:$C$19, MOD(ROW()-2, 18) + 1)</f>
        <v>....Accommodation and food service activities</v>
      </c>
      <c r="C461" s="1" t="str">
        <f t="shared" si="1"/>
        <v>Sub</v>
      </c>
      <c r="D461" s="1">
        <f t="shared" si="2"/>
        <v>2023</v>
      </c>
      <c r="E461" s="1" t="str">
        <f t="shared" si="3"/>
        <v>At Current Prices</v>
      </c>
      <c r="F461" s="3">
        <v>9570700.0</v>
      </c>
    </row>
    <row r="462" ht="15.75" customHeight="1">
      <c r="A462" s="1" t="str">
        <f t="array" ref="A462">INDEX(Reference!$A$2:$A$18, INT((ROW()-2)/(18*3*2)) + 1)</f>
        <v>Caraga</v>
      </c>
      <c r="B462" s="2" t="str">
        <f t="array" ref="B462">INDEX(Reference!$C$2:$C$19, MOD(ROW()-2, 18) + 1)</f>
        <v>....Information and communication</v>
      </c>
      <c r="C462" s="1" t="str">
        <f t="shared" si="1"/>
        <v>Sub</v>
      </c>
      <c r="D462" s="1">
        <f t="shared" si="2"/>
        <v>2023</v>
      </c>
      <c r="E462" s="1" t="str">
        <f t="shared" si="3"/>
        <v>At Current Prices</v>
      </c>
      <c r="F462" s="3">
        <v>1.1923659E7</v>
      </c>
    </row>
    <row r="463" ht="15.75" customHeight="1">
      <c r="A463" s="1" t="str">
        <f t="array" ref="A463">INDEX(Reference!$A$2:$A$18, INT((ROW()-2)/(18*3*2)) + 1)</f>
        <v>Caraga</v>
      </c>
      <c r="B463" s="2" t="str">
        <f t="array" ref="B463">INDEX(Reference!$C$2:$C$19, MOD(ROW()-2, 18) + 1)</f>
        <v>....Financial and insurance activities</v>
      </c>
      <c r="C463" s="1" t="str">
        <f t="shared" si="1"/>
        <v>Sub</v>
      </c>
      <c r="D463" s="1">
        <f t="shared" si="2"/>
        <v>2023</v>
      </c>
      <c r="E463" s="1" t="str">
        <f t="shared" si="3"/>
        <v>At Current Prices</v>
      </c>
      <c r="F463" s="3">
        <v>5.4189235E7</v>
      </c>
    </row>
    <row r="464" ht="15.75" customHeight="1">
      <c r="A464" s="1" t="str">
        <f t="array" ref="A464">INDEX(Reference!$A$2:$A$18, INT((ROW()-2)/(18*3*2)) + 1)</f>
        <v>Caraga</v>
      </c>
      <c r="B464" s="2" t="str">
        <f t="array" ref="B464">INDEX(Reference!$C$2:$C$19, MOD(ROW()-2, 18) + 1)</f>
        <v>....Real estate and ownership of dwellings</v>
      </c>
      <c r="C464" s="1" t="str">
        <f t="shared" si="1"/>
        <v>Sub</v>
      </c>
      <c r="D464" s="1">
        <f t="shared" si="2"/>
        <v>2023</v>
      </c>
      <c r="E464" s="1" t="str">
        <f t="shared" si="3"/>
        <v>At Current Prices</v>
      </c>
      <c r="F464" s="3">
        <v>1.484666E7</v>
      </c>
    </row>
    <row r="465" ht="15.75" customHeight="1">
      <c r="A465" s="1" t="str">
        <f t="array" ref="A465">INDEX(Reference!$A$2:$A$18, INT((ROW()-2)/(18*3*2)) + 1)</f>
        <v>Caraga</v>
      </c>
      <c r="B465" s="2" t="str">
        <f t="array" ref="B465">INDEX(Reference!$C$2:$C$19, MOD(ROW()-2, 18) + 1)</f>
        <v>....Professional and business services</v>
      </c>
      <c r="C465" s="1" t="str">
        <f t="shared" si="1"/>
        <v>Sub</v>
      </c>
      <c r="D465" s="1">
        <f t="shared" si="2"/>
        <v>2023</v>
      </c>
      <c r="E465" s="1" t="str">
        <f t="shared" si="3"/>
        <v>At Current Prices</v>
      </c>
      <c r="F465" s="3">
        <v>2608133.0</v>
      </c>
    </row>
    <row r="466" ht="15.75" customHeight="1">
      <c r="A466" s="1" t="str">
        <f t="array" ref="A466">INDEX(Reference!$A$2:$A$18, INT((ROW()-2)/(18*3*2)) + 1)</f>
        <v>Caraga</v>
      </c>
      <c r="B466" s="2" t="str">
        <f t="array" ref="B466">INDEX(Reference!$C$2:$C$19, MOD(ROW()-2, 18) + 1)</f>
        <v>....Public administration and defense; compulsory social activities</v>
      </c>
      <c r="C466" s="1" t="str">
        <f t="shared" si="1"/>
        <v>Sub</v>
      </c>
      <c r="D466" s="1">
        <f t="shared" si="2"/>
        <v>2023</v>
      </c>
      <c r="E466" s="1" t="str">
        <f t="shared" si="3"/>
        <v>At Current Prices</v>
      </c>
      <c r="F466" s="3">
        <v>2.0867123E7</v>
      </c>
    </row>
    <row r="467" ht="15.75" customHeight="1">
      <c r="A467" s="1" t="str">
        <f t="array" ref="A467">INDEX(Reference!$A$2:$A$18, INT((ROW()-2)/(18*3*2)) + 1)</f>
        <v>Caraga</v>
      </c>
      <c r="B467" s="2" t="str">
        <f t="array" ref="B467">INDEX(Reference!$C$2:$C$19, MOD(ROW()-2, 18) + 1)</f>
        <v>....Education</v>
      </c>
      <c r="C467" s="1" t="str">
        <f t="shared" si="1"/>
        <v>Sub</v>
      </c>
      <c r="D467" s="1">
        <f t="shared" si="2"/>
        <v>2023</v>
      </c>
      <c r="E467" s="1" t="str">
        <f t="shared" si="3"/>
        <v>At Current Prices</v>
      </c>
      <c r="F467" s="3">
        <v>2.3839788E7</v>
      </c>
    </row>
    <row r="468" ht="15.75" customHeight="1">
      <c r="A468" s="1" t="str">
        <f t="array" ref="A468">INDEX(Reference!$A$2:$A$18, INT((ROW()-2)/(18*3*2)) + 1)</f>
        <v>Caraga</v>
      </c>
      <c r="B468" s="2" t="str">
        <f t="array" ref="B468">INDEX(Reference!$C$2:$C$19, MOD(ROW()-2, 18) + 1)</f>
        <v>....Human health and social work activities</v>
      </c>
      <c r="C468" s="1" t="str">
        <f t="shared" si="1"/>
        <v>Sub</v>
      </c>
      <c r="D468" s="1">
        <f t="shared" si="2"/>
        <v>2023</v>
      </c>
      <c r="E468" s="1" t="str">
        <f t="shared" si="3"/>
        <v>At Current Prices</v>
      </c>
      <c r="F468" s="3">
        <v>1.1630168E7</v>
      </c>
    </row>
    <row r="469" ht="15.75" customHeight="1">
      <c r="A469" s="1" t="str">
        <f t="array" ref="A469">INDEX(Reference!$A$2:$A$18, INT((ROW()-2)/(18*3*2)) + 1)</f>
        <v>Caraga</v>
      </c>
      <c r="B469" s="2" t="str">
        <f t="array" ref="B469">INDEX(Reference!$C$2:$C$19, MOD(ROW()-2, 18) + 1)</f>
        <v>....Other services</v>
      </c>
      <c r="C469" s="1" t="str">
        <f t="shared" si="1"/>
        <v>Sub</v>
      </c>
      <c r="D469" s="1">
        <f t="shared" si="2"/>
        <v>2023</v>
      </c>
      <c r="E469" s="1" t="str">
        <f t="shared" si="3"/>
        <v>At Current Prices</v>
      </c>
      <c r="F469" s="3">
        <v>4509819.0</v>
      </c>
    </row>
    <row r="470" ht="15.75" customHeight="1">
      <c r="A470" s="1" t="str">
        <f t="array" ref="A470">INDEX(Reference!$A$2:$A$18, INT((ROW()-2)/(18*3*2)) + 1)</f>
        <v>Caraga</v>
      </c>
      <c r="B470" s="2" t="str">
        <f t="array" ref="B470">INDEX(Reference!$C$2:$C$19, MOD(ROW()-2, 18) + 1)</f>
        <v>..Agriculture, forestry, and fishing</v>
      </c>
      <c r="C470" s="1" t="str">
        <f t="shared" si="1"/>
        <v>Main</v>
      </c>
      <c r="D470" s="1">
        <f t="shared" si="2"/>
        <v>2024</v>
      </c>
      <c r="E470" s="1" t="str">
        <f t="shared" si="3"/>
        <v>At Current Prices</v>
      </c>
      <c r="F470" s="3">
        <v>4.9905943E7</v>
      </c>
    </row>
    <row r="471" ht="15.75" customHeight="1">
      <c r="A471" s="1" t="str">
        <f t="array" ref="A471">INDEX(Reference!$A$2:$A$18, INT((ROW()-2)/(18*3*2)) + 1)</f>
        <v>Caraga</v>
      </c>
      <c r="B471" s="2" t="str">
        <f t="array" ref="B471">INDEX(Reference!$C$2:$C$19, MOD(ROW()-2, 18) + 1)</f>
        <v>..Industry</v>
      </c>
      <c r="C471" s="1" t="str">
        <f t="shared" si="1"/>
        <v>Main</v>
      </c>
      <c r="D471" s="1">
        <f t="shared" si="2"/>
        <v>2024</v>
      </c>
      <c r="E471" s="1" t="str">
        <f t="shared" si="3"/>
        <v>At Current Prices</v>
      </c>
      <c r="F471" s="3">
        <v>1.47613033E8</v>
      </c>
    </row>
    <row r="472" ht="15.75" customHeight="1">
      <c r="A472" s="1" t="str">
        <f t="array" ref="A472">INDEX(Reference!$A$2:$A$18, INT((ROW()-2)/(18*3*2)) + 1)</f>
        <v>Caraga</v>
      </c>
      <c r="B472" s="2" t="str">
        <f t="array" ref="B472">INDEX(Reference!$C$2:$C$19, MOD(ROW()-2, 18) + 1)</f>
        <v>....Mining and quarrying</v>
      </c>
      <c r="C472" s="1" t="str">
        <f t="shared" si="1"/>
        <v>Sub</v>
      </c>
      <c r="D472" s="1">
        <f t="shared" si="2"/>
        <v>2024</v>
      </c>
      <c r="E472" s="1" t="str">
        <f t="shared" si="3"/>
        <v>At Current Prices</v>
      </c>
      <c r="F472" s="3">
        <v>4.7913741E7</v>
      </c>
    </row>
    <row r="473" ht="15.75" customHeight="1">
      <c r="A473" s="1" t="str">
        <f t="array" ref="A473">INDEX(Reference!$A$2:$A$18, INT((ROW()-2)/(18*3*2)) + 1)</f>
        <v>Caraga</v>
      </c>
      <c r="B473" s="2" t="str">
        <f t="array" ref="B473">INDEX(Reference!$C$2:$C$19, MOD(ROW()-2, 18) + 1)</f>
        <v>....Manufacturing</v>
      </c>
      <c r="C473" s="1" t="str">
        <f t="shared" si="1"/>
        <v>Sub</v>
      </c>
      <c r="D473" s="1">
        <f t="shared" si="2"/>
        <v>2024</v>
      </c>
      <c r="E473" s="1" t="str">
        <f t="shared" si="3"/>
        <v>At Current Prices</v>
      </c>
      <c r="F473" s="3">
        <v>4.3696189E7</v>
      </c>
    </row>
    <row r="474" ht="15.75" customHeight="1">
      <c r="A474" s="1" t="str">
        <f t="array" ref="A474">INDEX(Reference!$A$2:$A$18, INT((ROW()-2)/(18*3*2)) + 1)</f>
        <v>Caraga</v>
      </c>
      <c r="B474" s="2" t="str">
        <f t="array" ref="B474">INDEX(Reference!$C$2:$C$19, MOD(ROW()-2, 18) + 1)</f>
        <v>....Electricity, steam, water and waste management</v>
      </c>
      <c r="C474" s="1" t="str">
        <f t="shared" si="1"/>
        <v>Sub</v>
      </c>
      <c r="D474" s="1">
        <f t="shared" si="2"/>
        <v>2024</v>
      </c>
      <c r="E474" s="1" t="str">
        <f t="shared" si="3"/>
        <v>At Current Prices</v>
      </c>
      <c r="F474" s="3">
        <v>1.4271685E7</v>
      </c>
    </row>
    <row r="475" ht="15.75" customHeight="1">
      <c r="A475" s="1" t="str">
        <f t="array" ref="A475">INDEX(Reference!$A$2:$A$18, INT((ROW()-2)/(18*3*2)) + 1)</f>
        <v>Caraga</v>
      </c>
      <c r="B475" s="2" t="str">
        <f t="array" ref="B475">INDEX(Reference!$C$2:$C$19, MOD(ROW()-2, 18) + 1)</f>
        <v>....Construction</v>
      </c>
      <c r="C475" s="1" t="str">
        <f t="shared" si="1"/>
        <v>Sub</v>
      </c>
      <c r="D475" s="1">
        <f t="shared" si="2"/>
        <v>2024</v>
      </c>
      <c r="E475" s="1" t="str">
        <f t="shared" si="3"/>
        <v>At Current Prices</v>
      </c>
      <c r="F475" s="3">
        <v>4.1731418E7</v>
      </c>
    </row>
    <row r="476" ht="15.75" customHeight="1">
      <c r="A476" s="1" t="str">
        <f t="array" ref="A476">INDEX(Reference!$A$2:$A$18, INT((ROW()-2)/(18*3*2)) + 1)</f>
        <v>Caraga</v>
      </c>
      <c r="B476" s="2" t="str">
        <f t="array" ref="B476">INDEX(Reference!$C$2:$C$19, MOD(ROW()-2, 18) + 1)</f>
        <v>..Services</v>
      </c>
      <c r="C476" s="1" t="str">
        <f t="shared" si="1"/>
        <v>Main</v>
      </c>
      <c r="D476" s="1">
        <f t="shared" si="2"/>
        <v>2024</v>
      </c>
      <c r="E476" s="1" t="str">
        <f t="shared" si="3"/>
        <v>At Current Prices</v>
      </c>
      <c r="F476" s="3">
        <v>2.416279E8</v>
      </c>
    </row>
    <row r="477" ht="15.75" customHeight="1">
      <c r="A477" s="1" t="str">
        <f t="array" ref="A477">INDEX(Reference!$A$2:$A$18, INT((ROW()-2)/(18*3*2)) + 1)</f>
        <v>Caraga</v>
      </c>
      <c r="B477" s="2" t="str">
        <f t="array" ref="B477">INDEX(Reference!$C$2:$C$19, MOD(ROW()-2, 18) + 1)</f>
        <v>....Wholesale and retail trade; repair of motor vehicles and motorcycles</v>
      </c>
      <c r="C477" s="1" t="str">
        <f t="shared" si="1"/>
        <v>Sub</v>
      </c>
      <c r="D477" s="1">
        <f t="shared" si="2"/>
        <v>2024</v>
      </c>
      <c r="E477" s="1" t="str">
        <f t="shared" si="3"/>
        <v>At Current Prices</v>
      </c>
      <c r="F477" s="3">
        <v>4.8619677E7</v>
      </c>
    </row>
    <row r="478" ht="15.75" customHeight="1">
      <c r="A478" s="1" t="str">
        <f t="array" ref="A478">INDEX(Reference!$A$2:$A$18, INT((ROW()-2)/(18*3*2)) + 1)</f>
        <v>Caraga</v>
      </c>
      <c r="B478" s="2" t="str">
        <f t="array" ref="B478">INDEX(Reference!$C$2:$C$19, MOD(ROW()-2, 18) + 1)</f>
        <v>....Transportation and storage</v>
      </c>
      <c r="C478" s="1" t="str">
        <f t="shared" si="1"/>
        <v>Sub</v>
      </c>
      <c r="D478" s="1">
        <f t="shared" si="2"/>
        <v>2024</v>
      </c>
      <c r="E478" s="1" t="str">
        <f t="shared" si="3"/>
        <v>At Current Prices</v>
      </c>
      <c r="F478" s="3">
        <v>2.2864229E7</v>
      </c>
    </row>
    <row r="479" ht="15.75" customHeight="1">
      <c r="A479" s="1" t="str">
        <f t="array" ref="A479">INDEX(Reference!$A$2:$A$18, INT((ROW()-2)/(18*3*2)) + 1)</f>
        <v>Caraga</v>
      </c>
      <c r="B479" s="2" t="str">
        <f t="array" ref="B479">INDEX(Reference!$C$2:$C$19, MOD(ROW()-2, 18) + 1)</f>
        <v>....Accommodation and food service activities</v>
      </c>
      <c r="C479" s="1" t="str">
        <f t="shared" si="1"/>
        <v>Sub</v>
      </c>
      <c r="D479" s="1">
        <f t="shared" si="2"/>
        <v>2024</v>
      </c>
      <c r="E479" s="1" t="str">
        <f t="shared" si="3"/>
        <v>At Current Prices</v>
      </c>
      <c r="F479" s="3">
        <v>1.1049798E7</v>
      </c>
    </row>
    <row r="480" ht="15.75" customHeight="1">
      <c r="A480" s="1" t="str">
        <f t="array" ref="A480">INDEX(Reference!$A$2:$A$18, INT((ROW()-2)/(18*3*2)) + 1)</f>
        <v>Caraga</v>
      </c>
      <c r="B480" s="2" t="str">
        <f t="array" ref="B480">INDEX(Reference!$C$2:$C$19, MOD(ROW()-2, 18) + 1)</f>
        <v>....Information and communication</v>
      </c>
      <c r="C480" s="1" t="str">
        <f t="shared" si="1"/>
        <v>Sub</v>
      </c>
      <c r="D480" s="1">
        <f t="shared" si="2"/>
        <v>2024</v>
      </c>
      <c r="E480" s="1" t="str">
        <f t="shared" si="3"/>
        <v>At Current Prices</v>
      </c>
      <c r="F480" s="3">
        <v>1.2748998E7</v>
      </c>
    </row>
    <row r="481" ht="15.75" customHeight="1">
      <c r="A481" s="1" t="str">
        <f t="array" ref="A481">INDEX(Reference!$A$2:$A$18, INT((ROW()-2)/(18*3*2)) + 1)</f>
        <v>Caraga</v>
      </c>
      <c r="B481" s="2" t="str">
        <f t="array" ref="B481">INDEX(Reference!$C$2:$C$19, MOD(ROW()-2, 18) + 1)</f>
        <v>....Financial and insurance activities</v>
      </c>
      <c r="C481" s="1" t="str">
        <f t="shared" si="1"/>
        <v>Sub</v>
      </c>
      <c r="D481" s="1">
        <f t="shared" si="2"/>
        <v>2024</v>
      </c>
      <c r="E481" s="1" t="str">
        <f t="shared" si="3"/>
        <v>At Current Prices</v>
      </c>
      <c r="F481" s="3">
        <v>6.0172845E7</v>
      </c>
    </row>
    <row r="482" ht="15.75" customHeight="1">
      <c r="A482" s="1" t="str">
        <f t="array" ref="A482">INDEX(Reference!$A$2:$A$18, INT((ROW()-2)/(18*3*2)) + 1)</f>
        <v>Caraga</v>
      </c>
      <c r="B482" s="2" t="str">
        <f t="array" ref="B482">INDEX(Reference!$C$2:$C$19, MOD(ROW()-2, 18) + 1)</f>
        <v>....Real estate and ownership of dwellings</v>
      </c>
      <c r="C482" s="1" t="str">
        <f t="shared" si="1"/>
        <v>Sub</v>
      </c>
      <c r="D482" s="1">
        <f t="shared" si="2"/>
        <v>2024</v>
      </c>
      <c r="E482" s="1" t="str">
        <f t="shared" si="3"/>
        <v>At Current Prices</v>
      </c>
      <c r="F482" s="3">
        <v>1.6140543E7</v>
      </c>
    </row>
    <row r="483" ht="15.75" customHeight="1">
      <c r="A483" s="1" t="str">
        <f t="array" ref="A483">INDEX(Reference!$A$2:$A$18, INT((ROW()-2)/(18*3*2)) + 1)</f>
        <v>Caraga</v>
      </c>
      <c r="B483" s="2" t="str">
        <f t="array" ref="B483">INDEX(Reference!$C$2:$C$19, MOD(ROW()-2, 18) + 1)</f>
        <v>....Professional and business services</v>
      </c>
      <c r="C483" s="1" t="str">
        <f t="shared" si="1"/>
        <v>Sub</v>
      </c>
      <c r="D483" s="1">
        <f t="shared" si="2"/>
        <v>2024</v>
      </c>
      <c r="E483" s="1" t="str">
        <f t="shared" si="3"/>
        <v>At Current Prices</v>
      </c>
      <c r="F483" s="3">
        <v>3062425.0</v>
      </c>
    </row>
    <row r="484" ht="15.75" customHeight="1">
      <c r="A484" s="1" t="str">
        <f t="array" ref="A484">INDEX(Reference!$A$2:$A$18, INT((ROW()-2)/(18*3*2)) + 1)</f>
        <v>Caraga</v>
      </c>
      <c r="B484" s="2" t="str">
        <f t="array" ref="B484">INDEX(Reference!$C$2:$C$19, MOD(ROW()-2, 18) + 1)</f>
        <v>....Public administration and defense; compulsory social activities</v>
      </c>
      <c r="C484" s="1" t="str">
        <f t="shared" si="1"/>
        <v>Sub</v>
      </c>
      <c r="D484" s="1">
        <f t="shared" si="2"/>
        <v>2024</v>
      </c>
      <c r="E484" s="1" t="str">
        <f t="shared" si="3"/>
        <v>At Current Prices</v>
      </c>
      <c r="F484" s="3">
        <v>2.2960876E7</v>
      </c>
    </row>
    <row r="485" ht="15.75" customHeight="1">
      <c r="A485" s="1" t="str">
        <f t="array" ref="A485">INDEX(Reference!$A$2:$A$18, INT((ROW()-2)/(18*3*2)) + 1)</f>
        <v>Caraga</v>
      </c>
      <c r="B485" s="2" t="str">
        <f t="array" ref="B485">INDEX(Reference!$C$2:$C$19, MOD(ROW()-2, 18) + 1)</f>
        <v>....Education</v>
      </c>
      <c r="C485" s="1" t="str">
        <f t="shared" si="1"/>
        <v>Sub</v>
      </c>
      <c r="D485" s="1">
        <f t="shared" si="2"/>
        <v>2024</v>
      </c>
      <c r="E485" s="1" t="str">
        <f t="shared" si="3"/>
        <v>At Current Prices</v>
      </c>
      <c r="F485" s="3">
        <v>2.5579425E7</v>
      </c>
    </row>
    <row r="486" ht="15.75" customHeight="1">
      <c r="A486" s="1" t="str">
        <f t="array" ref="A486">INDEX(Reference!$A$2:$A$18, INT((ROW()-2)/(18*3*2)) + 1)</f>
        <v>Caraga</v>
      </c>
      <c r="B486" s="2" t="str">
        <f t="array" ref="B486">INDEX(Reference!$C$2:$C$19, MOD(ROW()-2, 18) + 1)</f>
        <v>....Human health and social work activities</v>
      </c>
      <c r="C486" s="1" t="str">
        <f t="shared" si="1"/>
        <v>Sub</v>
      </c>
      <c r="D486" s="1">
        <f t="shared" si="2"/>
        <v>2024</v>
      </c>
      <c r="E486" s="1" t="str">
        <f t="shared" si="3"/>
        <v>At Current Prices</v>
      </c>
      <c r="F486" s="3">
        <v>1.334399E7</v>
      </c>
    </row>
    <row r="487" ht="15.75" customHeight="1">
      <c r="A487" s="1" t="str">
        <f t="array" ref="A487">INDEX(Reference!$A$2:$A$18, INT((ROW()-2)/(18*3*2)) + 1)</f>
        <v>Caraga</v>
      </c>
      <c r="B487" s="2" t="str">
        <f t="array" ref="B487">INDEX(Reference!$C$2:$C$19, MOD(ROW()-2, 18) + 1)</f>
        <v>....Other services</v>
      </c>
      <c r="C487" s="1" t="str">
        <f t="shared" si="1"/>
        <v>Sub</v>
      </c>
      <c r="D487" s="1">
        <f t="shared" si="2"/>
        <v>2024</v>
      </c>
      <c r="E487" s="1" t="str">
        <f t="shared" si="3"/>
        <v>At Current Prices</v>
      </c>
      <c r="F487" s="3">
        <v>5085095.0</v>
      </c>
    </row>
    <row r="488" ht="15.75" customHeight="1">
      <c r="A488" s="1" t="str">
        <f t="array" ref="A488">INDEX(Reference!$A$2:$A$18, INT((ROW()-2)/(18*3*2)) + 1)</f>
        <v>Caraga</v>
      </c>
      <c r="B488" s="2" t="str">
        <f t="array" ref="B488">INDEX(Reference!$C$2:$C$19, MOD(ROW()-2, 18) + 1)</f>
        <v>..Agriculture, forestry, and fishing</v>
      </c>
      <c r="C488" s="1" t="str">
        <f t="shared" si="1"/>
        <v>Main</v>
      </c>
      <c r="D488" s="1">
        <f t="shared" si="2"/>
        <v>2022</v>
      </c>
      <c r="E488" s="1" t="str">
        <f t="shared" si="3"/>
        <v>At Constant 2018 Prices</v>
      </c>
      <c r="F488" s="3">
        <v>3.7422819E7</v>
      </c>
    </row>
    <row r="489" ht="15.75" customHeight="1">
      <c r="A489" s="1" t="str">
        <f t="array" ref="A489">INDEX(Reference!$A$2:$A$18, INT((ROW()-2)/(18*3*2)) + 1)</f>
        <v>Caraga</v>
      </c>
      <c r="B489" s="2" t="str">
        <f t="array" ref="B489">INDEX(Reference!$C$2:$C$19, MOD(ROW()-2, 18) + 1)</f>
        <v>..Industry</v>
      </c>
      <c r="C489" s="1" t="str">
        <f t="shared" si="1"/>
        <v>Main</v>
      </c>
      <c r="D489" s="1">
        <f t="shared" si="2"/>
        <v>2022</v>
      </c>
      <c r="E489" s="1" t="str">
        <f t="shared" si="3"/>
        <v>At Constant 2018 Prices</v>
      </c>
      <c r="F489" s="3">
        <v>1.11033952E8</v>
      </c>
    </row>
    <row r="490" ht="15.75" customHeight="1">
      <c r="A490" s="1" t="str">
        <f t="array" ref="A490">INDEX(Reference!$A$2:$A$18, INT((ROW()-2)/(18*3*2)) + 1)</f>
        <v>Caraga</v>
      </c>
      <c r="B490" s="2" t="str">
        <f t="array" ref="B490">INDEX(Reference!$C$2:$C$19, MOD(ROW()-2, 18) + 1)</f>
        <v>....Mining and quarrying</v>
      </c>
      <c r="C490" s="1" t="str">
        <f t="shared" si="1"/>
        <v>Sub</v>
      </c>
      <c r="D490" s="1">
        <f t="shared" si="2"/>
        <v>2022</v>
      </c>
      <c r="E490" s="1" t="str">
        <f t="shared" si="3"/>
        <v>At Constant 2018 Prices</v>
      </c>
      <c r="F490" s="3">
        <v>2.3176523E7</v>
      </c>
    </row>
    <row r="491" ht="15.75" customHeight="1">
      <c r="A491" s="1" t="str">
        <f t="array" ref="A491">INDEX(Reference!$A$2:$A$18, INT((ROW()-2)/(18*3*2)) + 1)</f>
        <v>Caraga</v>
      </c>
      <c r="B491" s="2" t="str">
        <f t="array" ref="B491">INDEX(Reference!$C$2:$C$19, MOD(ROW()-2, 18) + 1)</f>
        <v>....Manufacturing</v>
      </c>
      <c r="C491" s="1" t="str">
        <f t="shared" si="1"/>
        <v>Sub</v>
      </c>
      <c r="D491" s="1">
        <f t="shared" si="2"/>
        <v>2022</v>
      </c>
      <c r="E491" s="1" t="str">
        <f t="shared" si="3"/>
        <v>At Constant 2018 Prices</v>
      </c>
      <c r="F491" s="3">
        <v>4.8493215E7</v>
      </c>
    </row>
    <row r="492" ht="15.75" customHeight="1">
      <c r="A492" s="1" t="str">
        <f t="array" ref="A492">INDEX(Reference!$A$2:$A$18, INT((ROW()-2)/(18*3*2)) + 1)</f>
        <v>Caraga</v>
      </c>
      <c r="B492" s="2" t="str">
        <f t="array" ref="B492">INDEX(Reference!$C$2:$C$19, MOD(ROW()-2, 18) + 1)</f>
        <v>....Electricity, steam, water and waste management</v>
      </c>
      <c r="C492" s="1" t="str">
        <f t="shared" si="1"/>
        <v>Sub</v>
      </c>
      <c r="D492" s="1">
        <f t="shared" si="2"/>
        <v>2022</v>
      </c>
      <c r="E492" s="1" t="str">
        <f t="shared" si="3"/>
        <v>At Constant 2018 Prices</v>
      </c>
      <c r="F492" s="3">
        <v>9164008.0</v>
      </c>
    </row>
    <row r="493" ht="15.75" customHeight="1">
      <c r="A493" s="1" t="str">
        <f t="array" ref="A493">INDEX(Reference!$A$2:$A$18, INT((ROW()-2)/(18*3*2)) + 1)</f>
        <v>Caraga</v>
      </c>
      <c r="B493" s="2" t="str">
        <f t="array" ref="B493">INDEX(Reference!$C$2:$C$19, MOD(ROW()-2, 18) + 1)</f>
        <v>....Construction</v>
      </c>
      <c r="C493" s="1" t="str">
        <f t="shared" si="1"/>
        <v>Sub</v>
      </c>
      <c r="D493" s="1">
        <f t="shared" si="2"/>
        <v>2022</v>
      </c>
      <c r="E493" s="1" t="str">
        <f t="shared" si="3"/>
        <v>At Constant 2018 Prices</v>
      </c>
      <c r="F493" s="3">
        <v>3.0200205E7</v>
      </c>
    </row>
    <row r="494" ht="15.75" customHeight="1">
      <c r="A494" s="1" t="str">
        <f t="array" ref="A494">INDEX(Reference!$A$2:$A$18, INT((ROW()-2)/(18*3*2)) + 1)</f>
        <v>Caraga</v>
      </c>
      <c r="B494" s="2" t="str">
        <f t="array" ref="B494">INDEX(Reference!$C$2:$C$19, MOD(ROW()-2, 18) + 1)</f>
        <v>..Services</v>
      </c>
      <c r="C494" s="1" t="str">
        <f t="shared" si="1"/>
        <v>Main</v>
      </c>
      <c r="D494" s="1">
        <f t="shared" si="2"/>
        <v>2022</v>
      </c>
      <c r="E494" s="1" t="str">
        <f t="shared" si="3"/>
        <v>At Constant 2018 Prices</v>
      </c>
      <c r="F494" s="3">
        <v>1.75436474E8</v>
      </c>
    </row>
    <row r="495" ht="15.75" customHeight="1">
      <c r="A495" s="1" t="str">
        <f t="array" ref="A495">INDEX(Reference!$A$2:$A$18, INT((ROW()-2)/(18*3*2)) + 1)</f>
        <v>Caraga</v>
      </c>
      <c r="B495" s="2" t="str">
        <f t="array" ref="B495">INDEX(Reference!$C$2:$C$19, MOD(ROW()-2, 18) + 1)</f>
        <v>....Wholesale and retail trade; repair of motor vehicles and motorcycles</v>
      </c>
      <c r="C495" s="1" t="str">
        <f t="shared" si="1"/>
        <v>Sub</v>
      </c>
      <c r="D495" s="1">
        <f t="shared" si="2"/>
        <v>2022</v>
      </c>
      <c r="E495" s="1" t="str">
        <f t="shared" si="3"/>
        <v>At Constant 2018 Prices</v>
      </c>
      <c r="F495" s="3">
        <v>3.5984721E7</v>
      </c>
    </row>
    <row r="496" ht="15.75" customHeight="1">
      <c r="A496" s="1" t="str">
        <f t="array" ref="A496">INDEX(Reference!$A$2:$A$18, INT((ROW()-2)/(18*3*2)) + 1)</f>
        <v>Caraga</v>
      </c>
      <c r="B496" s="2" t="str">
        <f t="array" ref="B496">INDEX(Reference!$C$2:$C$19, MOD(ROW()-2, 18) + 1)</f>
        <v>....Transportation and storage</v>
      </c>
      <c r="C496" s="1" t="str">
        <f t="shared" si="1"/>
        <v>Sub</v>
      </c>
      <c r="D496" s="1">
        <f t="shared" si="2"/>
        <v>2022</v>
      </c>
      <c r="E496" s="1" t="str">
        <f t="shared" si="3"/>
        <v>At Constant 2018 Prices</v>
      </c>
      <c r="F496" s="3">
        <v>1.7638712E7</v>
      </c>
    </row>
    <row r="497" ht="15.75" customHeight="1">
      <c r="A497" s="1" t="str">
        <f t="array" ref="A497">INDEX(Reference!$A$2:$A$18, INT((ROW()-2)/(18*3*2)) + 1)</f>
        <v>Caraga</v>
      </c>
      <c r="B497" s="2" t="str">
        <f t="array" ref="B497">INDEX(Reference!$C$2:$C$19, MOD(ROW()-2, 18) + 1)</f>
        <v>....Accommodation and food service activities</v>
      </c>
      <c r="C497" s="1" t="str">
        <f t="shared" si="1"/>
        <v>Sub</v>
      </c>
      <c r="D497" s="1">
        <f t="shared" si="2"/>
        <v>2022</v>
      </c>
      <c r="E497" s="1" t="str">
        <f t="shared" si="3"/>
        <v>At Constant 2018 Prices</v>
      </c>
      <c r="F497" s="3">
        <v>6144072.0</v>
      </c>
    </row>
    <row r="498" ht="15.75" customHeight="1">
      <c r="A498" s="1" t="str">
        <f t="array" ref="A498">INDEX(Reference!$A$2:$A$18, INT((ROW()-2)/(18*3*2)) + 1)</f>
        <v>Caraga</v>
      </c>
      <c r="B498" s="2" t="str">
        <f t="array" ref="B498">INDEX(Reference!$C$2:$C$19, MOD(ROW()-2, 18) + 1)</f>
        <v>....Information and communication</v>
      </c>
      <c r="C498" s="1" t="str">
        <f t="shared" si="1"/>
        <v>Sub</v>
      </c>
      <c r="D498" s="1">
        <f t="shared" si="2"/>
        <v>2022</v>
      </c>
      <c r="E498" s="1" t="str">
        <f t="shared" si="3"/>
        <v>At Constant 2018 Prices</v>
      </c>
      <c r="F498" s="3">
        <v>1.1496718E7</v>
      </c>
    </row>
    <row r="499" ht="15.75" customHeight="1">
      <c r="A499" s="1" t="str">
        <f t="array" ref="A499">INDEX(Reference!$A$2:$A$18, INT((ROW()-2)/(18*3*2)) + 1)</f>
        <v>Caraga</v>
      </c>
      <c r="B499" s="2" t="str">
        <f t="array" ref="B499">INDEX(Reference!$C$2:$C$19, MOD(ROW()-2, 18) + 1)</f>
        <v>....Financial and insurance activities</v>
      </c>
      <c r="C499" s="1" t="str">
        <f t="shared" si="1"/>
        <v>Sub</v>
      </c>
      <c r="D499" s="1">
        <f t="shared" si="2"/>
        <v>2022</v>
      </c>
      <c r="E499" s="1" t="str">
        <f t="shared" si="3"/>
        <v>At Constant 2018 Prices</v>
      </c>
      <c r="F499" s="3">
        <v>4.3065969E7</v>
      </c>
    </row>
    <row r="500" ht="15.75" customHeight="1">
      <c r="A500" s="1" t="str">
        <f t="array" ref="A500">INDEX(Reference!$A$2:$A$18, INT((ROW()-2)/(18*3*2)) + 1)</f>
        <v>Caraga</v>
      </c>
      <c r="B500" s="2" t="str">
        <f t="array" ref="B500">INDEX(Reference!$C$2:$C$19, MOD(ROW()-2, 18) + 1)</f>
        <v>....Real estate and ownership of dwellings</v>
      </c>
      <c r="C500" s="1" t="str">
        <f t="shared" si="1"/>
        <v>Sub</v>
      </c>
      <c r="D500" s="1">
        <f t="shared" si="2"/>
        <v>2022</v>
      </c>
      <c r="E500" s="1" t="str">
        <f t="shared" si="3"/>
        <v>At Constant 2018 Prices</v>
      </c>
      <c r="F500" s="3">
        <v>1.218737E7</v>
      </c>
    </row>
    <row r="501" ht="15.75" customHeight="1">
      <c r="A501" s="1" t="str">
        <f t="array" ref="A501">INDEX(Reference!$A$2:$A$18, INT((ROW()-2)/(18*3*2)) + 1)</f>
        <v>Caraga</v>
      </c>
      <c r="B501" s="2" t="str">
        <f t="array" ref="B501">INDEX(Reference!$C$2:$C$19, MOD(ROW()-2, 18) + 1)</f>
        <v>....Professional and business services</v>
      </c>
      <c r="C501" s="1" t="str">
        <f t="shared" si="1"/>
        <v>Sub</v>
      </c>
      <c r="D501" s="1">
        <f t="shared" si="2"/>
        <v>2022</v>
      </c>
      <c r="E501" s="1" t="str">
        <f t="shared" si="3"/>
        <v>At Constant 2018 Prices</v>
      </c>
      <c r="F501" s="3">
        <v>2275022.0</v>
      </c>
    </row>
    <row r="502" ht="15.75" customHeight="1">
      <c r="A502" s="1" t="str">
        <f t="array" ref="A502">INDEX(Reference!$A$2:$A$18, INT((ROW()-2)/(18*3*2)) + 1)</f>
        <v>Caraga</v>
      </c>
      <c r="B502" s="2" t="str">
        <f t="array" ref="B502">INDEX(Reference!$C$2:$C$19, MOD(ROW()-2, 18) + 1)</f>
        <v>....Public administration and defense; compulsory social activities</v>
      </c>
      <c r="C502" s="1" t="str">
        <f t="shared" si="1"/>
        <v>Sub</v>
      </c>
      <c r="D502" s="1">
        <f t="shared" si="2"/>
        <v>2022</v>
      </c>
      <c r="E502" s="1" t="str">
        <f t="shared" si="3"/>
        <v>At Constant 2018 Prices</v>
      </c>
      <c r="F502" s="3">
        <v>1.6188755E7</v>
      </c>
    </row>
    <row r="503" ht="15.75" customHeight="1">
      <c r="A503" s="1" t="str">
        <f t="array" ref="A503">INDEX(Reference!$A$2:$A$18, INT((ROW()-2)/(18*3*2)) + 1)</f>
        <v>Caraga</v>
      </c>
      <c r="B503" s="2" t="str">
        <f t="array" ref="B503">INDEX(Reference!$C$2:$C$19, MOD(ROW()-2, 18) + 1)</f>
        <v>....Education</v>
      </c>
      <c r="C503" s="1" t="str">
        <f t="shared" si="1"/>
        <v>Sub</v>
      </c>
      <c r="D503" s="1">
        <f t="shared" si="2"/>
        <v>2022</v>
      </c>
      <c r="E503" s="1" t="str">
        <f t="shared" si="3"/>
        <v>At Constant 2018 Prices</v>
      </c>
      <c r="F503" s="3">
        <v>1.8469503E7</v>
      </c>
    </row>
    <row r="504" ht="15.75" customHeight="1">
      <c r="A504" s="1" t="str">
        <f t="array" ref="A504">INDEX(Reference!$A$2:$A$18, INT((ROW()-2)/(18*3*2)) + 1)</f>
        <v>Caraga</v>
      </c>
      <c r="B504" s="2" t="str">
        <f t="array" ref="B504">INDEX(Reference!$C$2:$C$19, MOD(ROW()-2, 18) + 1)</f>
        <v>....Human health and social work activities</v>
      </c>
      <c r="C504" s="1" t="str">
        <f t="shared" si="1"/>
        <v>Sub</v>
      </c>
      <c r="D504" s="1">
        <f t="shared" si="2"/>
        <v>2022</v>
      </c>
      <c r="E504" s="1" t="str">
        <f t="shared" si="3"/>
        <v>At Constant 2018 Prices</v>
      </c>
      <c r="F504" s="3">
        <v>9010723.0</v>
      </c>
    </row>
    <row r="505" ht="15.75" customHeight="1">
      <c r="A505" s="1" t="str">
        <f t="array" ref="A505">INDEX(Reference!$A$2:$A$18, INT((ROW()-2)/(18*3*2)) + 1)</f>
        <v>Caraga</v>
      </c>
      <c r="B505" s="2" t="str">
        <f t="array" ref="B505">INDEX(Reference!$C$2:$C$19, MOD(ROW()-2, 18) + 1)</f>
        <v>....Other services</v>
      </c>
      <c r="C505" s="1" t="str">
        <f t="shared" si="1"/>
        <v>Sub</v>
      </c>
      <c r="D505" s="1">
        <f t="shared" si="2"/>
        <v>2022</v>
      </c>
      <c r="E505" s="1" t="str">
        <f t="shared" si="3"/>
        <v>At Constant 2018 Prices</v>
      </c>
      <c r="F505" s="3">
        <v>2974908.0</v>
      </c>
    </row>
    <row r="506" ht="15.75" customHeight="1">
      <c r="A506" s="1" t="str">
        <f t="array" ref="A506">INDEX(Reference!$A$2:$A$18, INT((ROW()-2)/(18*3*2)) + 1)</f>
        <v>Caraga</v>
      </c>
      <c r="B506" s="2" t="str">
        <f t="array" ref="B506">INDEX(Reference!$C$2:$C$19, MOD(ROW()-2, 18) + 1)</f>
        <v>..Agriculture, forestry, and fishing</v>
      </c>
      <c r="C506" s="1" t="str">
        <f t="shared" si="1"/>
        <v>Main</v>
      </c>
      <c r="D506" s="1">
        <f t="shared" si="2"/>
        <v>2023</v>
      </c>
      <c r="E506" s="1" t="str">
        <f t="shared" si="3"/>
        <v>At Constant 2018 Prices</v>
      </c>
      <c r="F506" s="3">
        <v>3.7339288E7</v>
      </c>
    </row>
    <row r="507" ht="15.75" customHeight="1">
      <c r="A507" s="1" t="str">
        <f t="array" ref="A507">INDEX(Reference!$A$2:$A$18, INT((ROW()-2)/(18*3*2)) + 1)</f>
        <v>Caraga</v>
      </c>
      <c r="B507" s="2" t="str">
        <f t="array" ref="B507">INDEX(Reference!$C$2:$C$19, MOD(ROW()-2, 18) + 1)</f>
        <v>..Industry</v>
      </c>
      <c r="C507" s="1" t="str">
        <f t="shared" si="1"/>
        <v>Main</v>
      </c>
      <c r="D507" s="1">
        <f t="shared" si="2"/>
        <v>2023</v>
      </c>
      <c r="E507" s="1" t="str">
        <f t="shared" si="3"/>
        <v>At Constant 2018 Prices</v>
      </c>
      <c r="F507" s="3">
        <v>1.13580254E8</v>
      </c>
    </row>
    <row r="508" ht="15.75" customHeight="1">
      <c r="A508" s="1" t="str">
        <f t="array" ref="A508">INDEX(Reference!$A$2:$A$18, INT((ROW()-2)/(18*3*2)) + 1)</f>
        <v>Caraga</v>
      </c>
      <c r="B508" s="2" t="str">
        <f t="array" ref="B508">INDEX(Reference!$C$2:$C$19, MOD(ROW()-2, 18) + 1)</f>
        <v>....Mining and quarrying</v>
      </c>
      <c r="C508" s="1" t="str">
        <f t="shared" si="1"/>
        <v>Sub</v>
      </c>
      <c r="D508" s="1">
        <f t="shared" si="2"/>
        <v>2023</v>
      </c>
      <c r="E508" s="1" t="str">
        <f t="shared" si="3"/>
        <v>At Constant 2018 Prices</v>
      </c>
      <c r="F508" s="3">
        <v>2.5484175E7</v>
      </c>
    </row>
    <row r="509" ht="15.75" customHeight="1">
      <c r="A509" s="1" t="str">
        <f t="array" ref="A509">INDEX(Reference!$A$2:$A$18, INT((ROW()-2)/(18*3*2)) + 1)</f>
        <v>Caraga</v>
      </c>
      <c r="B509" s="2" t="str">
        <f t="array" ref="B509">INDEX(Reference!$C$2:$C$19, MOD(ROW()-2, 18) + 1)</f>
        <v>....Manufacturing</v>
      </c>
      <c r="C509" s="1" t="str">
        <f t="shared" si="1"/>
        <v>Sub</v>
      </c>
      <c r="D509" s="1">
        <f t="shared" si="2"/>
        <v>2023</v>
      </c>
      <c r="E509" s="1" t="str">
        <f t="shared" si="3"/>
        <v>At Constant 2018 Prices</v>
      </c>
      <c r="F509" s="3">
        <v>4.6787666E7</v>
      </c>
    </row>
    <row r="510" ht="15.75" customHeight="1">
      <c r="A510" s="1" t="str">
        <f t="array" ref="A510">INDEX(Reference!$A$2:$A$18, INT((ROW()-2)/(18*3*2)) + 1)</f>
        <v>Caraga</v>
      </c>
      <c r="B510" s="2" t="str">
        <f t="array" ref="B510">INDEX(Reference!$C$2:$C$19, MOD(ROW()-2, 18) + 1)</f>
        <v>....Electricity, steam, water and waste management</v>
      </c>
      <c r="C510" s="1" t="str">
        <f t="shared" si="1"/>
        <v>Sub</v>
      </c>
      <c r="D510" s="1">
        <f t="shared" si="2"/>
        <v>2023</v>
      </c>
      <c r="E510" s="1" t="str">
        <f t="shared" si="3"/>
        <v>At Constant 2018 Prices</v>
      </c>
      <c r="F510" s="3">
        <v>1.0166748E7</v>
      </c>
    </row>
    <row r="511" ht="15.75" customHeight="1">
      <c r="A511" s="1" t="str">
        <f t="array" ref="A511">INDEX(Reference!$A$2:$A$18, INT((ROW()-2)/(18*3*2)) + 1)</f>
        <v>Caraga</v>
      </c>
      <c r="B511" s="2" t="str">
        <f t="array" ref="B511">INDEX(Reference!$C$2:$C$19, MOD(ROW()-2, 18) + 1)</f>
        <v>....Construction</v>
      </c>
      <c r="C511" s="1" t="str">
        <f t="shared" si="1"/>
        <v>Sub</v>
      </c>
      <c r="D511" s="1">
        <f t="shared" si="2"/>
        <v>2023</v>
      </c>
      <c r="E511" s="1" t="str">
        <f t="shared" si="3"/>
        <v>At Constant 2018 Prices</v>
      </c>
      <c r="F511" s="3">
        <v>3.1141665E7</v>
      </c>
    </row>
    <row r="512" ht="15.75" customHeight="1">
      <c r="A512" s="1" t="str">
        <f t="array" ref="A512">INDEX(Reference!$A$2:$A$18, INT((ROW()-2)/(18*3*2)) + 1)</f>
        <v>Caraga</v>
      </c>
      <c r="B512" s="2" t="str">
        <f t="array" ref="B512">INDEX(Reference!$C$2:$C$19, MOD(ROW()-2, 18) + 1)</f>
        <v>..Services</v>
      </c>
      <c r="C512" s="1" t="str">
        <f t="shared" si="1"/>
        <v>Main</v>
      </c>
      <c r="D512" s="1">
        <f t="shared" si="2"/>
        <v>2023</v>
      </c>
      <c r="E512" s="1" t="str">
        <f t="shared" si="3"/>
        <v>At Constant 2018 Prices</v>
      </c>
      <c r="F512" s="3">
        <v>1.8853281E8</v>
      </c>
    </row>
    <row r="513" ht="15.75" customHeight="1">
      <c r="A513" s="1" t="str">
        <f t="array" ref="A513">INDEX(Reference!$A$2:$A$18, INT((ROW()-2)/(18*3*2)) + 1)</f>
        <v>Caraga</v>
      </c>
      <c r="B513" s="2" t="str">
        <f t="array" ref="B513">INDEX(Reference!$C$2:$C$19, MOD(ROW()-2, 18) + 1)</f>
        <v>....Wholesale and retail trade; repair of motor vehicles and motorcycles</v>
      </c>
      <c r="C513" s="1" t="str">
        <f t="shared" si="1"/>
        <v>Sub</v>
      </c>
      <c r="D513" s="1">
        <f t="shared" si="2"/>
        <v>2023</v>
      </c>
      <c r="E513" s="1" t="str">
        <f t="shared" si="3"/>
        <v>At Constant 2018 Prices</v>
      </c>
      <c r="F513" s="3">
        <v>3.7845155E7</v>
      </c>
    </row>
    <row r="514" ht="15.75" customHeight="1">
      <c r="A514" s="1" t="str">
        <f t="array" ref="A514">INDEX(Reference!$A$2:$A$18, INT((ROW()-2)/(18*3*2)) + 1)</f>
        <v>Caraga</v>
      </c>
      <c r="B514" s="2" t="str">
        <f t="array" ref="B514">INDEX(Reference!$C$2:$C$19, MOD(ROW()-2, 18) + 1)</f>
        <v>....Transportation and storage</v>
      </c>
      <c r="C514" s="1" t="str">
        <f t="shared" si="1"/>
        <v>Sub</v>
      </c>
      <c r="D514" s="1">
        <f t="shared" si="2"/>
        <v>2023</v>
      </c>
      <c r="E514" s="1" t="str">
        <f t="shared" si="3"/>
        <v>At Constant 2018 Prices</v>
      </c>
      <c r="F514" s="3">
        <v>2.0192806E7</v>
      </c>
    </row>
    <row r="515" ht="15.75" customHeight="1">
      <c r="A515" s="1" t="str">
        <f t="array" ref="A515">INDEX(Reference!$A$2:$A$18, INT((ROW()-2)/(18*3*2)) + 1)</f>
        <v>Caraga</v>
      </c>
      <c r="B515" s="2" t="str">
        <f t="array" ref="B515">INDEX(Reference!$C$2:$C$19, MOD(ROW()-2, 18) + 1)</f>
        <v>....Accommodation and food service activities</v>
      </c>
      <c r="C515" s="1" t="str">
        <f t="shared" si="1"/>
        <v>Sub</v>
      </c>
      <c r="D515" s="1">
        <f t="shared" si="2"/>
        <v>2023</v>
      </c>
      <c r="E515" s="1" t="str">
        <f t="shared" si="3"/>
        <v>At Constant 2018 Prices</v>
      </c>
      <c r="F515" s="3">
        <v>7039445.0</v>
      </c>
    </row>
    <row r="516" ht="15.75" customHeight="1">
      <c r="A516" s="1" t="str">
        <f t="array" ref="A516">INDEX(Reference!$A$2:$A$18, INT((ROW()-2)/(18*3*2)) + 1)</f>
        <v>Caraga</v>
      </c>
      <c r="B516" s="2" t="str">
        <f t="array" ref="B516">INDEX(Reference!$C$2:$C$19, MOD(ROW()-2, 18) + 1)</f>
        <v>....Information and communication</v>
      </c>
      <c r="C516" s="1" t="str">
        <f t="shared" si="1"/>
        <v>Sub</v>
      </c>
      <c r="D516" s="1">
        <f t="shared" si="2"/>
        <v>2023</v>
      </c>
      <c r="E516" s="1" t="str">
        <f t="shared" si="3"/>
        <v>At Constant 2018 Prices</v>
      </c>
      <c r="F516" s="3">
        <v>1.2039146E7</v>
      </c>
    </row>
    <row r="517" ht="15.75" customHeight="1">
      <c r="A517" s="1" t="str">
        <f t="array" ref="A517">INDEX(Reference!$A$2:$A$18, INT((ROW()-2)/(18*3*2)) + 1)</f>
        <v>Caraga</v>
      </c>
      <c r="B517" s="2" t="str">
        <f t="array" ref="B517">INDEX(Reference!$C$2:$C$19, MOD(ROW()-2, 18) + 1)</f>
        <v>....Financial and insurance activities</v>
      </c>
      <c r="C517" s="1" t="str">
        <f t="shared" si="1"/>
        <v>Sub</v>
      </c>
      <c r="D517" s="1">
        <f t="shared" si="2"/>
        <v>2023</v>
      </c>
      <c r="E517" s="1" t="str">
        <f t="shared" si="3"/>
        <v>At Constant 2018 Prices</v>
      </c>
      <c r="F517" s="3">
        <v>4.5567718E7</v>
      </c>
    </row>
    <row r="518" ht="15.75" customHeight="1">
      <c r="A518" s="1" t="str">
        <f t="array" ref="A518">INDEX(Reference!$A$2:$A$18, INT((ROW()-2)/(18*3*2)) + 1)</f>
        <v>Caraga</v>
      </c>
      <c r="B518" s="2" t="str">
        <f t="array" ref="B518">INDEX(Reference!$C$2:$C$19, MOD(ROW()-2, 18) + 1)</f>
        <v>....Real estate and ownership of dwellings</v>
      </c>
      <c r="C518" s="1" t="str">
        <f t="shared" si="1"/>
        <v>Sub</v>
      </c>
      <c r="D518" s="1">
        <f t="shared" si="2"/>
        <v>2023</v>
      </c>
      <c r="E518" s="1" t="str">
        <f t="shared" si="3"/>
        <v>At Constant 2018 Prices</v>
      </c>
      <c r="F518" s="3">
        <v>1.2421611E7</v>
      </c>
    </row>
    <row r="519" ht="15.75" customHeight="1">
      <c r="A519" s="1" t="str">
        <f t="array" ref="A519">INDEX(Reference!$A$2:$A$18, INT((ROW()-2)/(18*3*2)) + 1)</f>
        <v>Caraga</v>
      </c>
      <c r="B519" s="2" t="str">
        <f t="array" ref="B519">INDEX(Reference!$C$2:$C$19, MOD(ROW()-2, 18) + 1)</f>
        <v>....Professional and business services</v>
      </c>
      <c r="C519" s="1" t="str">
        <f t="shared" si="1"/>
        <v>Sub</v>
      </c>
      <c r="D519" s="1">
        <f t="shared" si="2"/>
        <v>2023</v>
      </c>
      <c r="E519" s="1" t="str">
        <f t="shared" si="3"/>
        <v>At Constant 2018 Prices</v>
      </c>
      <c r="F519" s="3">
        <v>2484877.0</v>
      </c>
    </row>
    <row r="520" ht="15.75" customHeight="1">
      <c r="A520" s="1" t="str">
        <f t="array" ref="A520">INDEX(Reference!$A$2:$A$18, INT((ROW()-2)/(18*3*2)) + 1)</f>
        <v>Caraga</v>
      </c>
      <c r="B520" s="2" t="str">
        <f t="array" ref="B520">INDEX(Reference!$C$2:$C$19, MOD(ROW()-2, 18) + 1)</f>
        <v>....Public administration and defense; compulsory social activities</v>
      </c>
      <c r="C520" s="1" t="str">
        <f t="shared" si="1"/>
        <v>Sub</v>
      </c>
      <c r="D520" s="1">
        <f t="shared" si="2"/>
        <v>2023</v>
      </c>
      <c r="E520" s="1" t="str">
        <f t="shared" si="3"/>
        <v>At Constant 2018 Prices</v>
      </c>
      <c r="F520" s="3">
        <v>1.7989432E7</v>
      </c>
    </row>
    <row r="521" ht="15.75" customHeight="1">
      <c r="A521" s="1" t="str">
        <f t="array" ref="A521">INDEX(Reference!$A$2:$A$18, INT((ROW()-2)/(18*3*2)) + 1)</f>
        <v>Caraga</v>
      </c>
      <c r="B521" s="2" t="str">
        <f t="array" ref="B521">INDEX(Reference!$C$2:$C$19, MOD(ROW()-2, 18) + 1)</f>
        <v>....Education</v>
      </c>
      <c r="C521" s="1" t="str">
        <f t="shared" si="1"/>
        <v>Sub</v>
      </c>
      <c r="D521" s="1">
        <f t="shared" si="2"/>
        <v>2023</v>
      </c>
      <c r="E521" s="1" t="str">
        <f t="shared" si="3"/>
        <v>At Constant 2018 Prices</v>
      </c>
      <c r="F521" s="3">
        <v>1.9303804E7</v>
      </c>
    </row>
    <row r="522" ht="15.75" customHeight="1">
      <c r="A522" s="1" t="str">
        <f t="array" ref="A522">INDEX(Reference!$A$2:$A$18, INT((ROW()-2)/(18*3*2)) + 1)</f>
        <v>Caraga</v>
      </c>
      <c r="B522" s="2" t="str">
        <f t="array" ref="B522">INDEX(Reference!$C$2:$C$19, MOD(ROW()-2, 18) + 1)</f>
        <v>....Human health and social work activities</v>
      </c>
      <c r="C522" s="1" t="str">
        <f t="shared" si="1"/>
        <v>Sub</v>
      </c>
      <c r="D522" s="1">
        <f t="shared" si="2"/>
        <v>2023</v>
      </c>
      <c r="E522" s="1" t="str">
        <f t="shared" si="3"/>
        <v>At Constant 2018 Prices</v>
      </c>
      <c r="F522" s="3">
        <v>9925152.0</v>
      </c>
    </row>
    <row r="523" ht="15.75" customHeight="1">
      <c r="A523" s="1" t="str">
        <f t="array" ref="A523">INDEX(Reference!$A$2:$A$18, INT((ROW()-2)/(18*3*2)) + 1)</f>
        <v>Caraga</v>
      </c>
      <c r="B523" s="2" t="str">
        <f t="array" ref="B523">INDEX(Reference!$C$2:$C$19, MOD(ROW()-2, 18) + 1)</f>
        <v>....Other services</v>
      </c>
      <c r="C523" s="1" t="str">
        <f t="shared" si="1"/>
        <v>Sub</v>
      </c>
      <c r="D523" s="1">
        <f t="shared" si="2"/>
        <v>2023</v>
      </c>
      <c r="E523" s="1" t="str">
        <f t="shared" si="3"/>
        <v>At Constant 2018 Prices</v>
      </c>
      <c r="F523" s="3">
        <v>3723666.0</v>
      </c>
    </row>
    <row r="524" ht="15.75" customHeight="1">
      <c r="A524" s="1" t="str">
        <f t="array" ref="A524">INDEX(Reference!$A$2:$A$18, INT((ROW()-2)/(18*3*2)) + 1)</f>
        <v>Caraga</v>
      </c>
      <c r="B524" s="2" t="str">
        <f t="array" ref="B524">INDEX(Reference!$C$2:$C$19, MOD(ROW()-2, 18) + 1)</f>
        <v>..Agriculture, forestry, and fishing</v>
      </c>
      <c r="C524" s="1" t="str">
        <f t="shared" si="1"/>
        <v>Main</v>
      </c>
      <c r="D524" s="1">
        <f t="shared" si="2"/>
        <v>2024</v>
      </c>
      <c r="E524" s="1" t="str">
        <f t="shared" si="3"/>
        <v>At Constant 2018 Prices</v>
      </c>
      <c r="F524" s="3">
        <v>3.8517633E7</v>
      </c>
    </row>
    <row r="525" ht="15.75" customHeight="1">
      <c r="A525" s="1" t="str">
        <f t="array" ref="A525">INDEX(Reference!$A$2:$A$18, INT((ROW()-2)/(18*3*2)) + 1)</f>
        <v>Caraga</v>
      </c>
      <c r="B525" s="2" t="str">
        <f t="array" ref="B525">INDEX(Reference!$C$2:$C$19, MOD(ROW()-2, 18) + 1)</f>
        <v>..Industry</v>
      </c>
      <c r="C525" s="1" t="str">
        <f t="shared" si="1"/>
        <v>Main</v>
      </c>
      <c r="D525" s="1">
        <f t="shared" si="2"/>
        <v>2024</v>
      </c>
      <c r="E525" s="1" t="str">
        <f t="shared" si="3"/>
        <v>At Constant 2018 Prices</v>
      </c>
      <c r="F525" s="3">
        <v>1.20551865E8</v>
      </c>
    </row>
    <row r="526" ht="15.75" customHeight="1">
      <c r="A526" s="1" t="str">
        <f t="array" ref="A526">INDEX(Reference!$A$2:$A$18, INT((ROW()-2)/(18*3*2)) + 1)</f>
        <v>Caraga</v>
      </c>
      <c r="B526" s="2" t="str">
        <f t="array" ref="B526">INDEX(Reference!$C$2:$C$19, MOD(ROW()-2, 18) + 1)</f>
        <v>....Mining and quarrying</v>
      </c>
      <c r="C526" s="1" t="str">
        <f t="shared" si="1"/>
        <v>Sub</v>
      </c>
      <c r="D526" s="1">
        <f t="shared" si="2"/>
        <v>2024</v>
      </c>
      <c r="E526" s="1" t="str">
        <f t="shared" si="3"/>
        <v>At Constant 2018 Prices</v>
      </c>
      <c r="F526" s="3">
        <v>2.6728927E7</v>
      </c>
    </row>
    <row r="527" ht="15.75" customHeight="1">
      <c r="A527" s="1" t="str">
        <f t="array" ref="A527">INDEX(Reference!$A$2:$A$18, INT((ROW()-2)/(18*3*2)) + 1)</f>
        <v>Caraga</v>
      </c>
      <c r="B527" s="2" t="str">
        <f t="array" ref="B527">INDEX(Reference!$C$2:$C$19, MOD(ROW()-2, 18) + 1)</f>
        <v>....Manufacturing</v>
      </c>
      <c r="C527" s="1" t="str">
        <f t="shared" si="1"/>
        <v>Sub</v>
      </c>
      <c r="D527" s="1">
        <f t="shared" si="2"/>
        <v>2024</v>
      </c>
      <c r="E527" s="1" t="str">
        <f t="shared" si="3"/>
        <v>At Constant 2018 Prices</v>
      </c>
      <c r="F527" s="3">
        <v>4.7705096E7</v>
      </c>
    </row>
    <row r="528" ht="15.75" customHeight="1">
      <c r="A528" s="1" t="str">
        <f t="array" ref="A528">INDEX(Reference!$A$2:$A$18, INT((ROW()-2)/(18*3*2)) + 1)</f>
        <v>Caraga</v>
      </c>
      <c r="B528" s="2" t="str">
        <f t="array" ref="B528">INDEX(Reference!$C$2:$C$19, MOD(ROW()-2, 18) + 1)</f>
        <v>....Electricity, steam, water and waste management</v>
      </c>
      <c r="C528" s="1" t="str">
        <f t="shared" si="1"/>
        <v>Sub</v>
      </c>
      <c r="D528" s="1">
        <f t="shared" si="2"/>
        <v>2024</v>
      </c>
      <c r="E528" s="1" t="str">
        <f t="shared" si="3"/>
        <v>At Constant 2018 Prices</v>
      </c>
      <c r="F528" s="3">
        <v>1.1277936E7</v>
      </c>
    </row>
    <row r="529" ht="15.75" customHeight="1">
      <c r="A529" s="1" t="str">
        <f t="array" ref="A529">INDEX(Reference!$A$2:$A$18, INT((ROW()-2)/(18*3*2)) + 1)</f>
        <v>Caraga</v>
      </c>
      <c r="B529" s="2" t="str">
        <f t="array" ref="B529">INDEX(Reference!$C$2:$C$19, MOD(ROW()-2, 18) + 1)</f>
        <v>....Construction</v>
      </c>
      <c r="C529" s="1" t="str">
        <f t="shared" si="1"/>
        <v>Sub</v>
      </c>
      <c r="D529" s="1">
        <f t="shared" si="2"/>
        <v>2024</v>
      </c>
      <c r="E529" s="1" t="str">
        <f t="shared" si="3"/>
        <v>At Constant 2018 Prices</v>
      </c>
      <c r="F529" s="3">
        <v>3.4839905E7</v>
      </c>
    </row>
    <row r="530" ht="15.75" customHeight="1">
      <c r="A530" s="1" t="str">
        <f t="array" ref="A530">INDEX(Reference!$A$2:$A$18, INT((ROW()-2)/(18*3*2)) + 1)</f>
        <v>Caraga</v>
      </c>
      <c r="B530" s="2" t="str">
        <f t="array" ref="B530">INDEX(Reference!$C$2:$C$19, MOD(ROW()-2, 18) + 1)</f>
        <v>..Services</v>
      </c>
      <c r="C530" s="1" t="str">
        <f t="shared" si="1"/>
        <v>Main</v>
      </c>
      <c r="D530" s="1">
        <f t="shared" si="2"/>
        <v>2024</v>
      </c>
      <c r="E530" s="1" t="str">
        <f t="shared" si="3"/>
        <v>At Constant 2018 Prices</v>
      </c>
      <c r="F530" s="3">
        <v>2.03697041E8</v>
      </c>
    </row>
    <row r="531" ht="15.75" customHeight="1">
      <c r="A531" s="1" t="str">
        <f t="array" ref="A531">INDEX(Reference!$A$2:$A$18, INT((ROW()-2)/(18*3*2)) + 1)</f>
        <v>Caraga</v>
      </c>
      <c r="B531" s="2" t="str">
        <f t="array" ref="B531">INDEX(Reference!$C$2:$C$19, MOD(ROW()-2, 18) + 1)</f>
        <v>....Wholesale and retail trade; repair of motor vehicles and motorcycles</v>
      </c>
      <c r="C531" s="1" t="str">
        <f t="shared" si="1"/>
        <v>Sub</v>
      </c>
      <c r="D531" s="1">
        <f t="shared" si="2"/>
        <v>2024</v>
      </c>
      <c r="E531" s="1" t="str">
        <f t="shared" si="3"/>
        <v>At Constant 2018 Prices</v>
      </c>
      <c r="F531" s="3">
        <v>4.1477497E7</v>
      </c>
    </row>
    <row r="532" ht="15.75" customHeight="1">
      <c r="A532" s="1" t="str">
        <f t="array" ref="A532">INDEX(Reference!$A$2:$A$18, INT((ROW()-2)/(18*3*2)) + 1)</f>
        <v>Caraga</v>
      </c>
      <c r="B532" s="2" t="str">
        <f t="array" ref="B532">INDEX(Reference!$C$2:$C$19, MOD(ROW()-2, 18) + 1)</f>
        <v>....Transportation and storage</v>
      </c>
      <c r="C532" s="1" t="str">
        <f t="shared" si="1"/>
        <v>Sub</v>
      </c>
      <c r="D532" s="1">
        <f t="shared" si="2"/>
        <v>2024</v>
      </c>
      <c r="E532" s="1" t="str">
        <f t="shared" si="3"/>
        <v>At Constant 2018 Prices</v>
      </c>
      <c r="F532" s="3">
        <v>2.2110926E7</v>
      </c>
    </row>
    <row r="533" ht="15.75" customHeight="1">
      <c r="A533" s="1" t="str">
        <f t="array" ref="A533">INDEX(Reference!$A$2:$A$18, INT((ROW()-2)/(18*3*2)) + 1)</f>
        <v>Caraga</v>
      </c>
      <c r="B533" s="2" t="str">
        <f t="array" ref="B533">INDEX(Reference!$C$2:$C$19, MOD(ROW()-2, 18) + 1)</f>
        <v>....Accommodation and food service activities</v>
      </c>
      <c r="C533" s="1" t="str">
        <f t="shared" si="1"/>
        <v>Sub</v>
      </c>
      <c r="D533" s="1">
        <f t="shared" si="2"/>
        <v>2024</v>
      </c>
      <c r="E533" s="1" t="str">
        <f t="shared" si="3"/>
        <v>At Constant 2018 Prices</v>
      </c>
      <c r="F533" s="3">
        <v>7994421.0</v>
      </c>
    </row>
    <row r="534" ht="15.75" customHeight="1">
      <c r="A534" s="1" t="str">
        <f t="array" ref="A534">INDEX(Reference!$A$2:$A$18, INT((ROW()-2)/(18*3*2)) + 1)</f>
        <v>Caraga</v>
      </c>
      <c r="B534" s="2" t="str">
        <f t="array" ref="B534">INDEX(Reference!$C$2:$C$19, MOD(ROW()-2, 18) + 1)</f>
        <v>....Information and communication</v>
      </c>
      <c r="C534" s="1" t="str">
        <f t="shared" si="1"/>
        <v>Sub</v>
      </c>
      <c r="D534" s="1">
        <f t="shared" si="2"/>
        <v>2024</v>
      </c>
      <c r="E534" s="1" t="str">
        <f t="shared" si="3"/>
        <v>At Constant 2018 Prices</v>
      </c>
      <c r="F534" s="3">
        <v>1.270437E7</v>
      </c>
    </row>
    <row r="535" ht="15.75" customHeight="1">
      <c r="A535" s="1" t="str">
        <f t="array" ref="A535">INDEX(Reference!$A$2:$A$18, INT((ROW()-2)/(18*3*2)) + 1)</f>
        <v>Caraga</v>
      </c>
      <c r="B535" s="2" t="str">
        <f t="array" ref="B535">INDEX(Reference!$C$2:$C$19, MOD(ROW()-2, 18) + 1)</f>
        <v>....Financial and insurance activities</v>
      </c>
      <c r="C535" s="1" t="str">
        <f t="shared" si="1"/>
        <v>Sub</v>
      </c>
      <c r="D535" s="1">
        <f t="shared" si="2"/>
        <v>2024</v>
      </c>
      <c r="E535" s="1" t="str">
        <f t="shared" si="3"/>
        <v>At Constant 2018 Prices</v>
      </c>
      <c r="F535" s="3">
        <v>4.9199741E7</v>
      </c>
    </row>
    <row r="536" ht="15.75" customHeight="1">
      <c r="A536" s="1" t="str">
        <f t="array" ref="A536">INDEX(Reference!$A$2:$A$18, INT((ROW()-2)/(18*3*2)) + 1)</f>
        <v>Caraga</v>
      </c>
      <c r="B536" s="2" t="str">
        <f t="array" ref="B536">INDEX(Reference!$C$2:$C$19, MOD(ROW()-2, 18) + 1)</f>
        <v>....Real estate and ownership of dwellings</v>
      </c>
      <c r="C536" s="1" t="str">
        <f t="shared" si="1"/>
        <v>Sub</v>
      </c>
      <c r="D536" s="1">
        <f t="shared" si="2"/>
        <v>2024</v>
      </c>
      <c r="E536" s="1" t="str">
        <f t="shared" si="3"/>
        <v>At Constant 2018 Prices</v>
      </c>
      <c r="F536" s="3">
        <v>1.3143781E7</v>
      </c>
    </row>
    <row r="537" ht="15.75" customHeight="1">
      <c r="A537" s="1" t="str">
        <f t="array" ref="A537">INDEX(Reference!$A$2:$A$18, INT((ROW()-2)/(18*3*2)) + 1)</f>
        <v>Caraga</v>
      </c>
      <c r="B537" s="2" t="str">
        <f t="array" ref="B537">INDEX(Reference!$C$2:$C$19, MOD(ROW()-2, 18) + 1)</f>
        <v>....Professional and business services</v>
      </c>
      <c r="C537" s="1" t="str">
        <f t="shared" si="1"/>
        <v>Sub</v>
      </c>
      <c r="D537" s="1">
        <f t="shared" si="2"/>
        <v>2024</v>
      </c>
      <c r="E537" s="1" t="str">
        <f t="shared" si="3"/>
        <v>At Constant 2018 Prices</v>
      </c>
      <c r="F537" s="3">
        <v>2845248.0</v>
      </c>
    </row>
    <row r="538" ht="15.75" customHeight="1">
      <c r="A538" s="1" t="str">
        <f t="array" ref="A538">INDEX(Reference!$A$2:$A$18, INT((ROW()-2)/(18*3*2)) + 1)</f>
        <v>Caraga</v>
      </c>
      <c r="B538" s="2" t="str">
        <f t="array" ref="B538">INDEX(Reference!$C$2:$C$19, MOD(ROW()-2, 18) + 1)</f>
        <v>....Public administration and defense; compulsory social activities</v>
      </c>
      <c r="C538" s="1" t="str">
        <f t="shared" si="1"/>
        <v>Sub</v>
      </c>
      <c r="D538" s="1">
        <f t="shared" si="2"/>
        <v>2024</v>
      </c>
      <c r="E538" s="1" t="str">
        <f t="shared" si="3"/>
        <v>At Constant 2018 Prices</v>
      </c>
      <c r="F538" s="3">
        <v>1.9186097E7</v>
      </c>
    </row>
    <row r="539" ht="15.75" customHeight="1">
      <c r="A539" s="1" t="str">
        <f t="array" ref="A539">INDEX(Reference!$A$2:$A$18, INT((ROW()-2)/(18*3*2)) + 1)</f>
        <v>Caraga</v>
      </c>
      <c r="B539" s="2" t="str">
        <f t="array" ref="B539">INDEX(Reference!$C$2:$C$19, MOD(ROW()-2, 18) + 1)</f>
        <v>....Education</v>
      </c>
      <c r="C539" s="1" t="str">
        <f t="shared" si="1"/>
        <v>Sub</v>
      </c>
      <c r="D539" s="1">
        <f t="shared" si="2"/>
        <v>2024</v>
      </c>
      <c r="E539" s="1" t="str">
        <f t="shared" si="3"/>
        <v>At Constant 2018 Prices</v>
      </c>
      <c r="F539" s="3">
        <v>2.0006999E7</v>
      </c>
    </row>
    <row r="540" ht="15.75" customHeight="1">
      <c r="A540" s="1" t="str">
        <f t="array" ref="A540">INDEX(Reference!$A$2:$A$18, INT((ROW()-2)/(18*3*2)) + 1)</f>
        <v>Caraga</v>
      </c>
      <c r="B540" s="2" t="str">
        <f t="array" ref="B540">INDEX(Reference!$C$2:$C$19, MOD(ROW()-2, 18) + 1)</f>
        <v>....Human health and social work activities</v>
      </c>
      <c r="C540" s="1" t="str">
        <f t="shared" si="1"/>
        <v>Sub</v>
      </c>
      <c r="D540" s="1">
        <f t="shared" si="2"/>
        <v>2024</v>
      </c>
      <c r="E540" s="1" t="str">
        <f t="shared" si="3"/>
        <v>At Constant 2018 Prices</v>
      </c>
      <c r="F540" s="3">
        <v>1.109451E7</v>
      </c>
    </row>
    <row r="541" ht="15.75" customHeight="1">
      <c r="A541" s="1" t="str">
        <f t="array" ref="A541">INDEX(Reference!$A$2:$A$18, INT((ROW()-2)/(18*3*2)) + 1)</f>
        <v>Caraga</v>
      </c>
      <c r="B541" s="2" t="str">
        <f t="array" ref="B541">INDEX(Reference!$C$2:$C$19, MOD(ROW()-2, 18) + 1)</f>
        <v>....Other services</v>
      </c>
      <c r="C541" s="1" t="str">
        <f t="shared" si="1"/>
        <v>Sub</v>
      </c>
      <c r="D541" s="1">
        <f t="shared" si="2"/>
        <v>2024</v>
      </c>
      <c r="E541" s="1" t="str">
        <f t="shared" si="3"/>
        <v>At Constant 2018 Prices</v>
      </c>
      <c r="F541" s="3">
        <v>3933450.0</v>
      </c>
    </row>
    <row r="542" ht="15.75" customHeight="1">
      <c r="A542" s="1" t="str">
        <f t="array" ref="A542">INDEX(Reference!$A$2:$A$18, INT((ROW()-2)/(18*3*2)) + 1)</f>
        <v>Central Luzon</v>
      </c>
      <c r="B542" s="2" t="str">
        <f t="array" ref="B542">INDEX(Reference!$C$2:$C$19, MOD(ROW()-2, 18) + 1)</f>
        <v>..Agriculture, forestry, and fishing</v>
      </c>
      <c r="C542" s="1" t="str">
        <f t="shared" si="1"/>
        <v>Main</v>
      </c>
      <c r="D542" s="1">
        <f t="shared" si="2"/>
        <v>2022</v>
      </c>
      <c r="E542" s="1" t="str">
        <f t="shared" si="3"/>
        <v>At Current Prices</v>
      </c>
      <c r="F542" s="3">
        <v>2.84557585E8</v>
      </c>
    </row>
    <row r="543" ht="15.75" customHeight="1">
      <c r="A543" s="1" t="str">
        <f t="array" ref="A543">INDEX(Reference!$A$2:$A$18, INT((ROW()-2)/(18*3*2)) + 1)</f>
        <v>Central Luzon</v>
      </c>
      <c r="B543" s="2" t="str">
        <f t="array" ref="B543">INDEX(Reference!$C$2:$C$19, MOD(ROW()-2, 18) + 1)</f>
        <v>..Industry</v>
      </c>
      <c r="C543" s="1" t="str">
        <f t="shared" si="1"/>
        <v>Main</v>
      </c>
      <c r="D543" s="1">
        <f t="shared" si="2"/>
        <v>2022</v>
      </c>
      <c r="E543" s="1" t="str">
        <f t="shared" si="3"/>
        <v>At Current Prices</v>
      </c>
      <c r="F543" s="3">
        <v>9.7338882E8</v>
      </c>
    </row>
    <row r="544" ht="15.75" customHeight="1">
      <c r="A544" s="1" t="str">
        <f t="array" ref="A544">INDEX(Reference!$A$2:$A$18, INT((ROW()-2)/(18*3*2)) + 1)</f>
        <v>Central Luzon</v>
      </c>
      <c r="B544" s="2" t="str">
        <f t="array" ref="B544">INDEX(Reference!$C$2:$C$19, MOD(ROW()-2, 18) + 1)</f>
        <v>....Mining and quarrying</v>
      </c>
      <c r="C544" s="1" t="str">
        <f t="shared" si="1"/>
        <v>Sub</v>
      </c>
      <c r="D544" s="1">
        <f t="shared" si="2"/>
        <v>2022</v>
      </c>
      <c r="E544" s="1" t="str">
        <f t="shared" si="3"/>
        <v>At Current Prices</v>
      </c>
      <c r="F544" s="3">
        <v>1.270409E7</v>
      </c>
    </row>
    <row r="545" ht="15.75" customHeight="1">
      <c r="A545" s="1" t="str">
        <f t="array" ref="A545">INDEX(Reference!$A$2:$A$18, INT((ROW()-2)/(18*3*2)) + 1)</f>
        <v>Central Luzon</v>
      </c>
      <c r="B545" s="2" t="str">
        <f t="array" ref="B545">INDEX(Reference!$C$2:$C$19, MOD(ROW()-2, 18) + 1)</f>
        <v>....Manufacturing</v>
      </c>
      <c r="C545" s="1" t="str">
        <f t="shared" si="1"/>
        <v>Sub</v>
      </c>
      <c r="D545" s="1">
        <f t="shared" si="2"/>
        <v>2022</v>
      </c>
      <c r="E545" s="1" t="str">
        <f t="shared" si="3"/>
        <v>At Current Prices</v>
      </c>
      <c r="F545" s="3">
        <v>5.80460997E8</v>
      </c>
    </row>
    <row r="546" ht="15.75" customHeight="1">
      <c r="A546" s="1" t="str">
        <f t="array" ref="A546">INDEX(Reference!$A$2:$A$18, INT((ROW()-2)/(18*3*2)) + 1)</f>
        <v>Central Luzon</v>
      </c>
      <c r="B546" s="2" t="str">
        <f t="array" ref="B546">INDEX(Reference!$C$2:$C$19, MOD(ROW()-2, 18) + 1)</f>
        <v>....Electricity, steam, water and waste management</v>
      </c>
      <c r="C546" s="1" t="str">
        <f t="shared" si="1"/>
        <v>Sub</v>
      </c>
      <c r="D546" s="1">
        <f t="shared" si="2"/>
        <v>2022</v>
      </c>
      <c r="E546" s="1" t="str">
        <f t="shared" si="3"/>
        <v>At Current Prices</v>
      </c>
      <c r="F546" s="3">
        <v>8.7085982E7</v>
      </c>
    </row>
    <row r="547" ht="15.75" customHeight="1">
      <c r="A547" s="1" t="str">
        <f t="array" ref="A547">INDEX(Reference!$A$2:$A$18, INT((ROW()-2)/(18*3*2)) + 1)</f>
        <v>Central Luzon</v>
      </c>
      <c r="B547" s="2" t="str">
        <f t="array" ref="B547">INDEX(Reference!$C$2:$C$19, MOD(ROW()-2, 18) + 1)</f>
        <v>....Construction</v>
      </c>
      <c r="C547" s="1" t="str">
        <f t="shared" si="1"/>
        <v>Sub</v>
      </c>
      <c r="D547" s="1">
        <f t="shared" si="2"/>
        <v>2022</v>
      </c>
      <c r="E547" s="1" t="str">
        <f t="shared" si="3"/>
        <v>At Current Prices</v>
      </c>
      <c r="F547" s="3">
        <v>2.9313775E8</v>
      </c>
    </row>
    <row r="548" ht="15.75" customHeight="1">
      <c r="A548" s="1" t="str">
        <f t="array" ref="A548">INDEX(Reference!$A$2:$A$18, INT((ROW()-2)/(18*3*2)) + 1)</f>
        <v>Central Luzon</v>
      </c>
      <c r="B548" s="2" t="str">
        <f t="array" ref="B548">INDEX(Reference!$C$2:$C$19, MOD(ROW()-2, 18) + 1)</f>
        <v>..Services</v>
      </c>
      <c r="C548" s="1" t="str">
        <f t="shared" si="1"/>
        <v>Main</v>
      </c>
      <c r="D548" s="1">
        <f t="shared" si="2"/>
        <v>2022</v>
      </c>
      <c r="E548" s="1" t="str">
        <f t="shared" si="3"/>
        <v>At Current Prices</v>
      </c>
      <c r="F548" s="3">
        <v>1.109304555E9</v>
      </c>
    </row>
    <row r="549" ht="15.75" customHeight="1">
      <c r="A549" s="1" t="str">
        <f t="array" ref="A549">INDEX(Reference!$A$2:$A$18, INT((ROW()-2)/(18*3*2)) + 1)</f>
        <v>Central Luzon</v>
      </c>
      <c r="B549" s="2" t="str">
        <f t="array" ref="B549">INDEX(Reference!$C$2:$C$19, MOD(ROW()-2, 18) + 1)</f>
        <v>....Wholesale and retail trade; repair of motor vehicles and motorcycles</v>
      </c>
      <c r="C549" s="1" t="str">
        <f t="shared" si="1"/>
        <v>Sub</v>
      </c>
      <c r="D549" s="1">
        <f t="shared" si="2"/>
        <v>2022</v>
      </c>
      <c r="E549" s="1" t="str">
        <f t="shared" si="3"/>
        <v>At Current Prices</v>
      </c>
      <c r="F549" s="3">
        <v>2.91769809E8</v>
      </c>
    </row>
    <row r="550" ht="15.75" customHeight="1">
      <c r="A550" s="1" t="str">
        <f t="array" ref="A550">INDEX(Reference!$A$2:$A$18, INT((ROW()-2)/(18*3*2)) + 1)</f>
        <v>Central Luzon</v>
      </c>
      <c r="B550" s="2" t="str">
        <f t="array" ref="B550">INDEX(Reference!$C$2:$C$19, MOD(ROW()-2, 18) + 1)</f>
        <v>....Transportation and storage</v>
      </c>
      <c r="C550" s="1" t="str">
        <f t="shared" si="1"/>
        <v>Sub</v>
      </c>
      <c r="D550" s="1">
        <f t="shared" si="2"/>
        <v>2022</v>
      </c>
      <c r="E550" s="1" t="str">
        <f t="shared" si="3"/>
        <v>At Current Prices</v>
      </c>
      <c r="F550" s="3">
        <v>9.0999473E7</v>
      </c>
    </row>
    <row r="551" ht="15.75" customHeight="1">
      <c r="A551" s="1" t="str">
        <f t="array" ref="A551">INDEX(Reference!$A$2:$A$18, INT((ROW()-2)/(18*3*2)) + 1)</f>
        <v>Central Luzon</v>
      </c>
      <c r="B551" s="2" t="str">
        <f t="array" ref="B551">INDEX(Reference!$C$2:$C$19, MOD(ROW()-2, 18) + 1)</f>
        <v>....Accommodation and food service activities</v>
      </c>
      <c r="C551" s="1" t="str">
        <f t="shared" si="1"/>
        <v>Sub</v>
      </c>
      <c r="D551" s="1">
        <f t="shared" si="2"/>
        <v>2022</v>
      </c>
      <c r="E551" s="1" t="str">
        <f t="shared" si="3"/>
        <v>At Current Prices</v>
      </c>
      <c r="F551" s="3">
        <v>5.2016363E7</v>
      </c>
    </row>
    <row r="552" ht="15.75" customHeight="1">
      <c r="A552" s="1" t="str">
        <f t="array" ref="A552">INDEX(Reference!$A$2:$A$18, INT((ROW()-2)/(18*3*2)) + 1)</f>
        <v>Central Luzon</v>
      </c>
      <c r="B552" s="2" t="str">
        <f t="array" ref="B552">INDEX(Reference!$C$2:$C$19, MOD(ROW()-2, 18) + 1)</f>
        <v>....Information and communication</v>
      </c>
      <c r="C552" s="1" t="str">
        <f t="shared" si="1"/>
        <v>Sub</v>
      </c>
      <c r="D552" s="1">
        <f t="shared" si="2"/>
        <v>2022</v>
      </c>
      <c r="E552" s="1" t="str">
        <f t="shared" si="3"/>
        <v>At Current Prices</v>
      </c>
      <c r="F552" s="3">
        <v>1.038439E8</v>
      </c>
    </row>
    <row r="553" ht="15.75" customHeight="1">
      <c r="A553" s="1" t="str">
        <f t="array" ref="A553">INDEX(Reference!$A$2:$A$18, INT((ROW()-2)/(18*3*2)) + 1)</f>
        <v>Central Luzon</v>
      </c>
      <c r="B553" s="2" t="str">
        <f t="array" ref="B553">INDEX(Reference!$C$2:$C$19, MOD(ROW()-2, 18) + 1)</f>
        <v>....Financial and insurance activities</v>
      </c>
      <c r="C553" s="1" t="str">
        <f t="shared" si="1"/>
        <v>Sub</v>
      </c>
      <c r="D553" s="1">
        <f t="shared" si="2"/>
        <v>2022</v>
      </c>
      <c r="E553" s="1" t="str">
        <f t="shared" si="3"/>
        <v>At Current Prices</v>
      </c>
      <c r="F553" s="3">
        <v>8.4066322E7</v>
      </c>
    </row>
    <row r="554" ht="15.75" customHeight="1">
      <c r="A554" s="1" t="str">
        <f t="array" ref="A554">INDEX(Reference!$A$2:$A$18, INT((ROW()-2)/(18*3*2)) + 1)</f>
        <v>Central Luzon</v>
      </c>
      <c r="B554" s="2" t="str">
        <f t="array" ref="B554">INDEX(Reference!$C$2:$C$19, MOD(ROW()-2, 18) + 1)</f>
        <v>....Real estate and ownership of dwellings</v>
      </c>
      <c r="C554" s="1" t="str">
        <f t="shared" si="1"/>
        <v>Sub</v>
      </c>
      <c r="D554" s="1">
        <f t="shared" si="2"/>
        <v>2022</v>
      </c>
      <c r="E554" s="1" t="str">
        <f t="shared" si="3"/>
        <v>At Current Prices</v>
      </c>
      <c r="F554" s="3">
        <v>1.27495985E8</v>
      </c>
    </row>
    <row r="555" ht="15.75" customHeight="1">
      <c r="A555" s="1" t="str">
        <f t="array" ref="A555">INDEX(Reference!$A$2:$A$18, INT((ROW()-2)/(18*3*2)) + 1)</f>
        <v>Central Luzon</v>
      </c>
      <c r="B555" s="2" t="str">
        <f t="array" ref="B555">INDEX(Reference!$C$2:$C$19, MOD(ROW()-2, 18) + 1)</f>
        <v>....Professional and business services</v>
      </c>
      <c r="C555" s="1" t="str">
        <f t="shared" si="1"/>
        <v>Sub</v>
      </c>
      <c r="D555" s="1">
        <f t="shared" si="2"/>
        <v>2022</v>
      </c>
      <c r="E555" s="1" t="str">
        <f t="shared" si="3"/>
        <v>At Current Prices</v>
      </c>
      <c r="F555" s="3">
        <v>1.27413551E8</v>
      </c>
    </row>
    <row r="556" ht="15.75" customHeight="1">
      <c r="A556" s="1" t="str">
        <f t="array" ref="A556">INDEX(Reference!$A$2:$A$18, INT((ROW()-2)/(18*3*2)) + 1)</f>
        <v>Central Luzon</v>
      </c>
      <c r="B556" s="2" t="str">
        <f t="array" ref="B556">INDEX(Reference!$C$2:$C$19, MOD(ROW()-2, 18) + 1)</f>
        <v>....Public administration and defense; compulsory social activities</v>
      </c>
      <c r="C556" s="1" t="str">
        <f t="shared" si="1"/>
        <v>Sub</v>
      </c>
      <c r="D556" s="1">
        <f t="shared" si="2"/>
        <v>2022</v>
      </c>
      <c r="E556" s="1" t="str">
        <f t="shared" si="3"/>
        <v>At Current Prices</v>
      </c>
      <c r="F556" s="3">
        <v>5.2774122E7</v>
      </c>
    </row>
    <row r="557" ht="15.75" customHeight="1">
      <c r="A557" s="1" t="str">
        <f t="array" ref="A557">INDEX(Reference!$A$2:$A$18, INT((ROW()-2)/(18*3*2)) + 1)</f>
        <v>Central Luzon</v>
      </c>
      <c r="B557" s="2" t="str">
        <f t="array" ref="B557">INDEX(Reference!$C$2:$C$19, MOD(ROW()-2, 18) + 1)</f>
        <v>....Education</v>
      </c>
      <c r="C557" s="1" t="str">
        <f t="shared" si="1"/>
        <v>Sub</v>
      </c>
      <c r="D557" s="1">
        <f t="shared" si="2"/>
        <v>2022</v>
      </c>
      <c r="E557" s="1" t="str">
        <f t="shared" si="3"/>
        <v>At Current Prices</v>
      </c>
      <c r="F557" s="3">
        <v>8.8115027E7</v>
      </c>
    </row>
    <row r="558" ht="15.75" customHeight="1">
      <c r="A558" s="1" t="str">
        <f t="array" ref="A558">INDEX(Reference!$A$2:$A$18, INT((ROW()-2)/(18*3*2)) + 1)</f>
        <v>Central Luzon</v>
      </c>
      <c r="B558" s="2" t="str">
        <f t="array" ref="B558">INDEX(Reference!$C$2:$C$19, MOD(ROW()-2, 18) + 1)</f>
        <v>....Human health and social work activities</v>
      </c>
      <c r="C558" s="1" t="str">
        <f t="shared" si="1"/>
        <v>Sub</v>
      </c>
      <c r="D558" s="1">
        <f t="shared" si="2"/>
        <v>2022</v>
      </c>
      <c r="E558" s="1" t="str">
        <f t="shared" si="3"/>
        <v>At Current Prices</v>
      </c>
      <c r="F558" s="3">
        <v>3.4870071E7</v>
      </c>
    </row>
    <row r="559" ht="15.75" customHeight="1">
      <c r="A559" s="1" t="str">
        <f t="array" ref="A559">INDEX(Reference!$A$2:$A$18, INT((ROW()-2)/(18*3*2)) + 1)</f>
        <v>Central Luzon</v>
      </c>
      <c r="B559" s="2" t="str">
        <f t="array" ref="B559">INDEX(Reference!$C$2:$C$19, MOD(ROW()-2, 18) + 1)</f>
        <v>....Other services</v>
      </c>
      <c r="C559" s="1" t="str">
        <f t="shared" si="1"/>
        <v>Sub</v>
      </c>
      <c r="D559" s="1">
        <f t="shared" si="2"/>
        <v>2022</v>
      </c>
      <c r="E559" s="1" t="str">
        <f t="shared" si="3"/>
        <v>At Current Prices</v>
      </c>
      <c r="F559" s="3">
        <v>5.5939931E7</v>
      </c>
    </row>
    <row r="560" ht="15.75" customHeight="1">
      <c r="A560" s="1" t="str">
        <f t="array" ref="A560">INDEX(Reference!$A$2:$A$18, INT((ROW()-2)/(18*3*2)) + 1)</f>
        <v>Central Luzon</v>
      </c>
      <c r="B560" s="2" t="str">
        <f t="array" ref="B560">INDEX(Reference!$C$2:$C$19, MOD(ROW()-2, 18) + 1)</f>
        <v>..Agriculture, forestry, and fishing</v>
      </c>
      <c r="C560" s="1" t="str">
        <f t="shared" si="1"/>
        <v>Main</v>
      </c>
      <c r="D560" s="1">
        <f t="shared" si="2"/>
        <v>2023</v>
      </c>
      <c r="E560" s="1" t="str">
        <f t="shared" si="3"/>
        <v>At Current Prices</v>
      </c>
      <c r="F560" s="3">
        <v>3.16457276E8</v>
      </c>
    </row>
    <row r="561" ht="15.75" customHeight="1">
      <c r="A561" s="1" t="str">
        <f t="array" ref="A561">INDEX(Reference!$A$2:$A$18, INT((ROW()-2)/(18*3*2)) + 1)</f>
        <v>Central Luzon</v>
      </c>
      <c r="B561" s="2" t="str">
        <f t="array" ref="B561">INDEX(Reference!$C$2:$C$19, MOD(ROW()-2, 18) + 1)</f>
        <v>..Industry</v>
      </c>
      <c r="C561" s="1" t="str">
        <f t="shared" si="1"/>
        <v>Main</v>
      </c>
      <c r="D561" s="1">
        <f t="shared" si="2"/>
        <v>2023</v>
      </c>
      <c r="E561" s="1" t="str">
        <f t="shared" si="3"/>
        <v>At Current Prices</v>
      </c>
      <c r="F561" s="3">
        <v>1.069674349E9</v>
      </c>
    </row>
    <row r="562" ht="15.75" customHeight="1">
      <c r="A562" s="1" t="str">
        <f t="array" ref="A562">INDEX(Reference!$A$2:$A$18, INT((ROW()-2)/(18*3*2)) + 1)</f>
        <v>Central Luzon</v>
      </c>
      <c r="B562" s="2" t="str">
        <f t="array" ref="B562">INDEX(Reference!$C$2:$C$19, MOD(ROW()-2, 18) + 1)</f>
        <v>....Mining and quarrying</v>
      </c>
      <c r="C562" s="1" t="str">
        <f t="shared" si="1"/>
        <v>Sub</v>
      </c>
      <c r="D562" s="1">
        <f t="shared" si="2"/>
        <v>2023</v>
      </c>
      <c r="E562" s="1" t="str">
        <f t="shared" si="3"/>
        <v>At Current Prices</v>
      </c>
      <c r="F562" s="3">
        <v>1.5918785E7</v>
      </c>
    </row>
    <row r="563" ht="15.75" customHeight="1">
      <c r="A563" s="1" t="str">
        <f t="array" ref="A563">INDEX(Reference!$A$2:$A$18, INT((ROW()-2)/(18*3*2)) + 1)</f>
        <v>Central Luzon</v>
      </c>
      <c r="B563" s="2" t="str">
        <f t="array" ref="B563">INDEX(Reference!$C$2:$C$19, MOD(ROW()-2, 18) + 1)</f>
        <v>....Manufacturing</v>
      </c>
      <c r="C563" s="1" t="str">
        <f t="shared" si="1"/>
        <v>Sub</v>
      </c>
      <c r="D563" s="1">
        <f t="shared" si="2"/>
        <v>2023</v>
      </c>
      <c r="E563" s="1" t="str">
        <f t="shared" si="3"/>
        <v>At Current Prices</v>
      </c>
      <c r="F563" s="3">
        <v>6.17867312E8</v>
      </c>
    </row>
    <row r="564" ht="15.75" customHeight="1">
      <c r="A564" s="1" t="str">
        <f t="array" ref="A564">INDEX(Reference!$A$2:$A$18, INT((ROW()-2)/(18*3*2)) + 1)</f>
        <v>Central Luzon</v>
      </c>
      <c r="B564" s="2" t="str">
        <f t="array" ref="B564">INDEX(Reference!$C$2:$C$19, MOD(ROW()-2, 18) + 1)</f>
        <v>....Electricity, steam, water and waste management</v>
      </c>
      <c r="C564" s="1" t="str">
        <f t="shared" si="1"/>
        <v>Sub</v>
      </c>
      <c r="D564" s="1">
        <f t="shared" si="2"/>
        <v>2023</v>
      </c>
      <c r="E564" s="1" t="str">
        <f t="shared" si="3"/>
        <v>At Current Prices</v>
      </c>
      <c r="F564" s="3">
        <v>1.01918009E8</v>
      </c>
    </row>
    <row r="565" ht="15.75" customHeight="1">
      <c r="A565" s="1" t="str">
        <f t="array" ref="A565">INDEX(Reference!$A$2:$A$18, INT((ROW()-2)/(18*3*2)) + 1)</f>
        <v>Central Luzon</v>
      </c>
      <c r="B565" s="2" t="str">
        <f t="array" ref="B565">INDEX(Reference!$C$2:$C$19, MOD(ROW()-2, 18) + 1)</f>
        <v>....Construction</v>
      </c>
      <c r="C565" s="1" t="str">
        <f t="shared" si="1"/>
        <v>Sub</v>
      </c>
      <c r="D565" s="1">
        <f t="shared" si="2"/>
        <v>2023</v>
      </c>
      <c r="E565" s="1" t="str">
        <f t="shared" si="3"/>
        <v>At Current Prices</v>
      </c>
      <c r="F565" s="3">
        <v>3.33970244E8</v>
      </c>
    </row>
    <row r="566" ht="15.75" customHeight="1">
      <c r="A566" s="1" t="str">
        <f t="array" ref="A566">INDEX(Reference!$A$2:$A$18, INT((ROW()-2)/(18*3*2)) + 1)</f>
        <v>Central Luzon</v>
      </c>
      <c r="B566" s="2" t="str">
        <f t="array" ref="B566">INDEX(Reference!$C$2:$C$19, MOD(ROW()-2, 18) + 1)</f>
        <v>..Services</v>
      </c>
      <c r="C566" s="1" t="str">
        <f t="shared" si="1"/>
        <v>Main</v>
      </c>
      <c r="D566" s="1">
        <f t="shared" si="2"/>
        <v>2023</v>
      </c>
      <c r="E566" s="1" t="str">
        <f t="shared" si="3"/>
        <v>At Current Prices</v>
      </c>
      <c r="F566" s="3">
        <v>1.260318237E9</v>
      </c>
    </row>
    <row r="567" ht="15.75" customHeight="1">
      <c r="A567" s="1" t="str">
        <f t="array" ref="A567">INDEX(Reference!$A$2:$A$18, INT((ROW()-2)/(18*3*2)) + 1)</f>
        <v>Central Luzon</v>
      </c>
      <c r="B567" s="2" t="str">
        <f t="array" ref="B567">INDEX(Reference!$C$2:$C$19, MOD(ROW()-2, 18) + 1)</f>
        <v>....Wholesale and retail trade; repair of motor vehicles and motorcycles</v>
      </c>
      <c r="C567" s="1" t="str">
        <f t="shared" si="1"/>
        <v>Sub</v>
      </c>
      <c r="D567" s="1">
        <f t="shared" si="2"/>
        <v>2023</v>
      </c>
      <c r="E567" s="1" t="str">
        <f t="shared" si="3"/>
        <v>At Current Prices</v>
      </c>
      <c r="F567" s="3">
        <v>3.23935262E8</v>
      </c>
    </row>
    <row r="568" ht="15.75" customHeight="1">
      <c r="A568" s="1" t="str">
        <f t="array" ref="A568">INDEX(Reference!$A$2:$A$18, INT((ROW()-2)/(18*3*2)) + 1)</f>
        <v>Central Luzon</v>
      </c>
      <c r="B568" s="2" t="str">
        <f t="array" ref="B568">INDEX(Reference!$C$2:$C$19, MOD(ROW()-2, 18) + 1)</f>
        <v>....Transportation and storage</v>
      </c>
      <c r="C568" s="1" t="str">
        <f t="shared" si="1"/>
        <v>Sub</v>
      </c>
      <c r="D568" s="1">
        <f t="shared" si="2"/>
        <v>2023</v>
      </c>
      <c r="E568" s="1" t="str">
        <f t="shared" si="3"/>
        <v>At Current Prices</v>
      </c>
      <c r="F568" s="3">
        <v>1.09899494E8</v>
      </c>
    </row>
    <row r="569" ht="15.75" customHeight="1">
      <c r="A569" s="1" t="str">
        <f t="array" ref="A569">INDEX(Reference!$A$2:$A$18, INT((ROW()-2)/(18*3*2)) + 1)</f>
        <v>Central Luzon</v>
      </c>
      <c r="B569" s="2" t="str">
        <f t="array" ref="B569">INDEX(Reference!$C$2:$C$19, MOD(ROW()-2, 18) + 1)</f>
        <v>....Accommodation and food service activities</v>
      </c>
      <c r="C569" s="1" t="str">
        <f t="shared" si="1"/>
        <v>Sub</v>
      </c>
      <c r="D569" s="1">
        <f t="shared" si="2"/>
        <v>2023</v>
      </c>
      <c r="E569" s="1" t="str">
        <f t="shared" si="3"/>
        <v>At Current Prices</v>
      </c>
      <c r="F569" s="3">
        <v>6.9404334E7</v>
      </c>
    </row>
    <row r="570" ht="15.75" customHeight="1">
      <c r="A570" s="1" t="str">
        <f t="array" ref="A570">INDEX(Reference!$A$2:$A$18, INT((ROW()-2)/(18*3*2)) + 1)</f>
        <v>Central Luzon</v>
      </c>
      <c r="B570" s="2" t="str">
        <f t="array" ref="B570">INDEX(Reference!$C$2:$C$19, MOD(ROW()-2, 18) + 1)</f>
        <v>....Information and communication</v>
      </c>
      <c r="C570" s="1" t="str">
        <f t="shared" si="1"/>
        <v>Sub</v>
      </c>
      <c r="D570" s="1">
        <f t="shared" si="2"/>
        <v>2023</v>
      </c>
      <c r="E570" s="1" t="str">
        <f t="shared" si="3"/>
        <v>At Current Prices</v>
      </c>
      <c r="F570" s="3">
        <v>1.1048279E8</v>
      </c>
    </row>
    <row r="571" ht="15.75" customHeight="1">
      <c r="A571" s="1" t="str">
        <f t="array" ref="A571">INDEX(Reference!$A$2:$A$18, INT((ROW()-2)/(18*3*2)) + 1)</f>
        <v>Central Luzon</v>
      </c>
      <c r="B571" s="2" t="str">
        <f t="array" ref="B571">INDEX(Reference!$C$2:$C$19, MOD(ROW()-2, 18) + 1)</f>
        <v>....Financial and insurance activities</v>
      </c>
      <c r="C571" s="1" t="str">
        <f t="shared" si="1"/>
        <v>Sub</v>
      </c>
      <c r="D571" s="1">
        <f t="shared" si="2"/>
        <v>2023</v>
      </c>
      <c r="E571" s="1" t="str">
        <f t="shared" si="3"/>
        <v>At Current Prices</v>
      </c>
      <c r="F571" s="3">
        <v>9.9595466E7</v>
      </c>
    </row>
    <row r="572" ht="15.75" customHeight="1">
      <c r="A572" s="1" t="str">
        <f t="array" ref="A572">INDEX(Reference!$A$2:$A$18, INT((ROW()-2)/(18*3*2)) + 1)</f>
        <v>Central Luzon</v>
      </c>
      <c r="B572" s="2" t="str">
        <f t="array" ref="B572">INDEX(Reference!$C$2:$C$19, MOD(ROW()-2, 18) + 1)</f>
        <v>....Real estate and ownership of dwellings</v>
      </c>
      <c r="C572" s="1" t="str">
        <f t="shared" si="1"/>
        <v>Sub</v>
      </c>
      <c r="D572" s="1">
        <f t="shared" si="2"/>
        <v>2023</v>
      </c>
      <c r="E572" s="1" t="str">
        <f t="shared" si="3"/>
        <v>At Current Prices</v>
      </c>
      <c r="F572" s="3">
        <v>1.42644716E8</v>
      </c>
    </row>
    <row r="573" ht="15.75" customHeight="1">
      <c r="A573" s="1" t="str">
        <f t="array" ref="A573">INDEX(Reference!$A$2:$A$18, INT((ROW()-2)/(18*3*2)) + 1)</f>
        <v>Central Luzon</v>
      </c>
      <c r="B573" s="2" t="str">
        <f t="array" ref="B573">INDEX(Reference!$C$2:$C$19, MOD(ROW()-2, 18) + 1)</f>
        <v>....Professional and business services</v>
      </c>
      <c r="C573" s="1" t="str">
        <f t="shared" si="1"/>
        <v>Sub</v>
      </c>
      <c r="D573" s="1">
        <f t="shared" si="2"/>
        <v>2023</v>
      </c>
      <c r="E573" s="1" t="str">
        <f t="shared" si="3"/>
        <v>At Current Prices</v>
      </c>
      <c r="F573" s="3">
        <v>1.42415291E8</v>
      </c>
    </row>
    <row r="574" ht="15.75" customHeight="1">
      <c r="A574" s="1" t="str">
        <f t="array" ref="A574">INDEX(Reference!$A$2:$A$18, INT((ROW()-2)/(18*3*2)) + 1)</f>
        <v>Central Luzon</v>
      </c>
      <c r="B574" s="2" t="str">
        <f t="array" ref="B574">INDEX(Reference!$C$2:$C$19, MOD(ROW()-2, 18) + 1)</f>
        <v>....Public administration and defense; compulsory social activities</v>
      </c>
      <c r="C574" s="1" t="str">
        <f t="shared" si="1"/>
        <v>Sub</v>
      </c>
      <c r="D574" s="1">
        <f t="shared" si="2"/>
        <v>2023</v>
      </c>
      <c r="E574" s="1" t="str">
        <f t="shared" si="3"/>
        <v>At Current Prices</v>
      </c>
      <c r="F574" s="3">
        <v>5.2531051E7</v>
      </c>
    </row>
    <row r="575" ht="15.75" customHeight="1">
      <c r="A575" s="1" t="str">
        <f t="array" ref="A575">INDEX(Reference!$A$2:$A$18, INT((ROW()-2)/(18*3*2)) + 1)</f>
        <v>Central Luzon</v>
      </c>
      <c r="B575" s="2" t="str">
        <f t="array" ref="B575">INDEX(Reference!$C$2:$C$19, MOD(ROW()-2, 18) + 1)</f>
        <v>....Education</v>
      </c>
      <c r="C575" s="1" t="str">
        <f t="shared" si="1"/>
        <v>Sub</v>
      </c>
      <c r="D575" s="1">
        <f t="shared" si="2"/>
        <v>2023</v>
      </c>
      <c r="E575" s="1" t="str">
        <f t="shared" si="3"/>
        <v>At Current Prices</v>
      </c>
      <c r="F575" s="3">
        <v>9.6096422E7</v>
      </c>
    </row>
    <row r="576" ht="15.75" customHeight="1">
      <c r="A576" s="1" t="str">
        <f t="array" ref="A576">INDEX(Reference!$A$2:$A$18, INT((ROW()-2)/(18*3*2)) + 1)</f>
        <v>Central Luzon</v>
      </c>
      <c r="B576" s="2" t="str">
        <f t="array" ref="B576">INDEX(Reference!$C$2:$C$19, MOD(ROW()-2, 18) + 1)</f>
        <v>....Human health and social work activities</v>
      </c>
      <c r="C576" s="1" t="str">
        <f t="shared" si="1"/>
        <v>Sub</v>
      </c>
      <c r="D576" s="1">
        <f t="shared" si="2"/>
        <v>2023</v>
      </c>
      <c r="E576" s="1" t="str">
        <f t="shared" si="3"/>
        <v>At Current Prices</v>
      </c>
      <c r="F576" s="3">
        <v>3.8629621E7</v>
      </c>
    </row>
    <row r="577" ht="15.75" customHeight="1">
      <c r="A577" s="1" t="str">
        <f t="array" ref="A577">INDEX(Reference!$A$2:$A$18, INT((ROW()-2)/(18*3*2)) + 1)</f>
        <v>Central Luzon</v>
      </c>
      <c r="B577" s="2" t="str">
        <f t="array" ref="B577">INDEX(Reference!$C$2:$C$19, MOD(ROW()-2, 18) + 1)</f>
        <v>....Other services</v>
      </c>
      <c r="C577" s="1" t="str">
        <f t="shared" si="1"/>
        <v>Sub</v>
      </c>
      <c r="D577" s="1">
        <f t="shared" si="2"/>
        <v>2023</v>
      </c>
      <c r="E577" s="1" t="str">
        <f t="shared" si="3"/>
        <v>At Current Prices</v>
      </c>
      <c r="F577" s="3">
        <v>7.4683792E7</v>
      </c>
    </row>
    <row r="578" ht="15.75" customHeight="1">
      <c r="A578" s="1" t="str">
        <f t="array" ref="A578">INDEX(Reference!$A$2:$A$18, INT((ROW()-2)/(18*3*2)) + 1)</f>
        <v>Central Luzon</v>
      </c>
      <c r="B578" s="2" t="str">
        <f t="array" ref="B578">INDEX(Reference!$C$2:$C$19, MOD(ROW()-2, 18) + 1)</f>
        <v>..Agriculture, forestry, and fishing</v>
      </c>
      <c r="C578" s="1" t="str">
        <f t="shared" si="1"/>
        <v>Main</v>
      </c>
      <c r="D578" s="1">
        <f t="shared" si="2"/>
        <v>2024</v>
      </c>
      <c r="E578" s="1" t="str">
        <f t="shared" si="3"/>
        <v>At Current Prices</v>
      </c>
      <c r="F578" s="3">
        <v>3.28988022E8</v>
      </c>
    </row>
    <row r="579" ht="15.75" customHeight="1">
      <c r="A579" s="1" t="str">
        <f t="array" ref="A579">INDEX(Reference!$A$2:$A$18, INT((ROW()-2)/(18*3*2)) + 1)</f>
        <v>Central Luzon</v>
      </c>
      <c r="B579" s="2" t="str">
        <f t="array" ref="B579">INDEX(Reference!$C$2:$C$19, MOD(ROW()-2, 18) + 1)</f>
        <v>..Industry</v>
      </c>
      <c r="C579" s="1" t="str">
        <f t="shared" si="1"/>
        <v>Main</v>
      </c>
      <c r="D579" s="1">
        <f t="shared" si="2"/>
        <v>2024</v>
      </c>
      <c r="E579" s="1" t="str">
        <f t="shared" si="3"/>
        <v>At Current Prices</v>
      </c>
      <c r="F579" s="3">
        <v>1.15961295E9</v>
      </c>
    </row>
    <row r="580" ht="15.75" customHeight="1">
      <c r="A580" s="1" t="str">
        <f t="array" ref="A580">INDEX(Reference!$A$2:$A$18, INT((ROW()-2)/(18*3*2)) + 1)</f>
        <v>Central Luzon</v>
      </c>
      <c r="B580" s="2" t="str">
        <f t="array" ref="B580">INDEX(Reference!$C$2:$C$19, MOD(ROW()-2, 18) + 1)</f>
        <v>....Mining and quarrying</v>
      </c>
      <c r="C580" s="1" t="str">
        <f t="shared" si="1"/>
        <v>Sub</v>
      </c>
      <c r="D580" s="1">
        <f t="shared" si="2"/>
        <v>2024</v>
      </c>
      <c r="E580" s="1" t="str">
        <f t="shared" si="3"/>
        <v>At Current Prices</v>
      </c>
      <c r="F580" s="3">
        <v>1.1465428E7</v>
      </c>
    </row>
    <row r="581" ht="15.75" customHeight="1">
      <c r="A581" s="1" t="str">
        <f t="array" ref="A581">INDEX(Reference!$A$2:$A$18, INT((ROW()-2)/(18*3*2)) + 1)</f>
        <v>Central Luzon</v>
      </c>
      <c r="B581" s="2" t="str">
        <f t="array" ref="B581">INDEX(Reference!$C$2:$C$19, MOD(ROW()-2, 18) + 1)</f>
        <v>....Manufacturing</v>
      </c>
      <c r="C581" s="1" t="str">
        <f t="shared" si="1"/>
        <v>Sub</v>
      </c>
      <c r="D581" s="1">
        <f t="shared" si="2"/>
        <v>2024</v>
      </c>
      <c r="E581" s="1" t="str">
        <f t="shared" si="3"/>
        <v>At Current Prices</v>
      </c>
      <c r="F581" s="3">
        <v>6.56483291E8</v>
      </c>
    </row>
    <row r="582" ht="15.75" customHeight="1">
      <c r="A582" s="1" t="str">
        <f t="array" ref="A582">INDEX(Reference!$A$2:$A$18, INT((ROW()-2)/(18*3*2)) + 1)</f>
        <v>Central Luzon</v>
      </c>
      <c r="B582" s="2" t="str">
        <f t="array" ref="B582">INDEX(Reference!$C$2:$C$19, MOD(ROW()-2, 18) + 1)</f>
        <v>....Electricity, steam, water and waste management</v>
      </c>
      <c r="C582" s="1" t="str">
        <f t="shared" si="1"/>
        <v>Sub</v>
      </c>
      <c r="D582" s="1">
        <f t="shared" si="2"/>
        <v>2024</v>
      </c>
      <c r="E582" s="1" t="str">
        <f t="shared" si="3"/>
        <v>At Current Prices</v>
      </c>
      <c r="F582" s="3">
        <v>1.07588332E8</v>
      </c>
    </row>
    <row r="583" ht="15.75" customHeight="1">
      <c r="A583" s="1" t="str">
        <f t="array" ref="A583">INDEX(Reference!$A$2:$A$18, INT((ROW()-2)/(18*3*2)) + 1)</f>
        <v>Central Luzon</v>
      </c>
      <c r="B583" s="2" t="str">
        <f t="array" ref="B583">INDEX(Reference!$C$2:$C$19, MOD(ROW()-2, 18) + 1)</f>
        <v>....Construction</v>
      </c>
      <c r="C583" s="1" t="str">
        <f t="shared" si="1"/>
        <v>Sub</v>
      </c>
      <c r="D583" s="1">
        <f t="shared" si="2"/>
        <v>2024</v>
      </c>
      <c r="E583" s="1" t="str">
        <f t="shared" si="3"/>
        <v>At Current Prices</v>
      </c>
      <c r="F583" s="3">
        <v>3.84075899E8</v>
      </c>
    </row>
    <row r="584" ht="15.75" customHeight="1">
      <c r="A584" s="1" t="str">
        <f t="array" ref="A584">INDEX(Reference!$A$2:$A$18, INT((ROW()-2)/(18*3*2)) + 1)</f>
        <v>Central Luzon</v>
      </c>
      <c r="B584" s="2" t="str">
        <f t="array" ref="B584">INDEX(Reference!$C$2:$C$19, MOD(ROW()-2, 18) + 1)</f>
        <v>..Services</v>
      </c>
      <c r="C584" s="1" t="str">
        <f t="shared" si="1"/>
        <v>Main</v>
      </c>
      <c r="D584" s="1">
        <f t="shared" si="2"/>
        <v>2024</v>
      </c>
      <c r="E584" s="1" t="str">
        <f t="shared" si="3"/>
        <v>At Current Prices</v>
      </c>
      <c r="F584" s="3">
        <v>1.403567149E9</v>
      </c>
    </row>
    <row r="585" ht="15.75" customHeight="1">
      <c r="A585" s="1" t="str">
        <f t="array" ref="A585">INDEX(Reference!$A$2:$A$18, INT((ROW()-2)/(18*3*2)) + 1)</f>
        <v>Central Luzon</v>
      </c>
      <c r="B585" s="2" t="str">
        <f t="array" ref="B585">INDEX(Reference!$C$2:$C$19, MOD(ROW()-2, 18) + 1)</f>
        <v>....Wholesale and retail trade; repair of motor vehicles and motorcycles</v>
      </c>
      <c r="C585" s="1" t="str">
        <f t="shared" si="1"/>
        <v>Sub</v>
      </c>
      <c r="D585" s="1">
        <f t="shared" si="2"/>
        <v>2024</v>
      </c>
      <c r="E585" s="1" t="str">
        <f t="shared" si="3"/>
        <v>At Current Prices</v>
      </c>
      <c r="F585" s="3">
        <v>3.62508829E8</v>
      </c>
    </row>
    <row r="586" ht="15.75" customHeight="1">
      <c r="A586" s="1" t="str">
        <f t="array" ref="A586">INDEX(Reference!$A$2:$A$18, INT((ROW()-2)/(18*3*2)) + 1)</f>
        <v>Central Luzon</v>
      </c>
      <c r="B586" s="2" t="str">
        <f t="array" ref="B586">INDEX(Reference!$C$2:$C$19, MOD(ROW()-2, 18) + 1)</f>
        <v>....Transportation and storage</v>
      </c>
      <c r="C586" s="1" t="str">
        <f t="shared" si="1"/>
        <v>Sub</v>
      </c>
      <c r="D586" s="1">
        <f t="shared" si="2"/>
        <v>2024</v>
      </c>
      <c r="E586" s="1" t="str">
        <f t="shared" si="3"/>
        <v>At Current Prices</v>
      </c>
      <c r="F586" s="3">
        <v>1.19183245E8</v>
      </c>
    </row>
    <row r="587" ht="15.75" customHeight="1">
      <c r="A587" s="1" t="str">
        <f t="array" ref="A587">INDEX(Reference!$A$2:$A$18, INT((ROW()-2)/(18*3*2)) + 1)</f>
        <v>Central Luzon</v>
      </c>
      <c r="B587" s="2" t="str">
        <f t="array" ref="B587">INDEX(Reference!$C$2:$C$19, MOD(ROW()-2, 18) + 1)</f>
        <v>....Accommodation and food service activities</v>
      </c>
      <c r="C587" s="1" t="str">
        <f t="shared" si="1"/>
        <v>Sub</v>
      </c>
      <c r="D587" s="1">
        <f t="shared" si="2"/>
        <v>2024</v>
      </c>
      <c r="E587" s="1" t="str">
        <f t="shared" si="3"/>
        <v>At Current Prices</v>
      </c>
      <c r="F587" s="3">
        <v>7.9161356E7</v>
      </c>
    </row>
    <row r="588" ht="15.75" customHeight="1">
      <c r="A588" s="1" t="str">
        <f t="array" ref="A588">INDEX(Reference!$A$2:$A$18, INT((ROW()-2)/(18*3*2)) + 1)</f>
        <v>Central Luzon</v>
      </c>
      <c r="B588" s="2" t="str">
        <f t="array" ref="B588">INDEX(Reference!$C$2:$C$19, MOD(ROW()-2, 18) + 1)</f>
        <v>....Information and communication</v>
      </c>
      <c r="C588" s="1" t="str">
        <f t="shared" si="1"/>
        <v>Sub</v>
      </c>
      <c r="D588" s="1">
        <f t="shared" si="2"/>
        <v>2024</v>
      </c>
      <c r="E588" s="1" t="str">
        <f t="shared" si="3"/>
        <v>At Current Prices</v>
      </c>
      <c r="F588" s="3">
        <v>1.16825555E8</v>
      </c>
    </row>
    <row r="589" ht="15.75" customHeight="1">
      <c r="A589" s="1" t="str">
        <f t="array" ref="A589">INDEX(Reference!$A$2:$A$18, INT((ROW()-2)/(18*3*2)) + 1)</f>
        <v>Central Luzon</v>
      </c>
      <c r="B589" s="2" t="str">
        <f t="array" ref="B589">INDEX(Reference!$C$2:$C$19, MOD(ROW()-2, 18) + 1)</f>
        <v>....Financial and insurance activities</v>
      </c>
      <c r="C589" s="1" t="str">
        <f t="shared" si="1"/>
        <v>Sub</v>
      </c>
      <c r="D589" s="1">
        <f t="shared" si="2"/>
        <v>2024</v>
      </c>
      <c r="E589" s="1" t="str">
        <f t="shared" si="3"/>
        <v>At Current Prices</v>
      </c>
      <c r="F589" s="3">
        <v>1.15124227E8</v>
      </c>
    </row>
    <row r="590" ht="15.75" customHeight="1">
      <c r="A590" s="1" t="str">
        <f t="array" ref="A590">INDEX(Reference!$A$2:$A$18, INT((ROW()-2)/(18*3*2)) + 1)</f>
        <v>Central Luzon</v>
      </c>
      <c r="B590" s="2" t="str">
        <f t="array" ref="B590">INDEX(Reference!$C$2:$C$19, MOD(ROW()-2, 18) + 1)</f>
        <v>....Real estate and ownership of dwellings</v>
      </c>
      <c r="C590" s="1" t="str">
        <f t="shared" si="1"/>
        <v>Sub</v>
      </c>
      <c r="D590" s="1">
        <f t="shared" si="2"/>
        <v>2024</v>
      </c>
      <c r="E590" s="1" t="str">
        <f t="shared" si="3"/>
        <v>At Current Prices</v>
      </c>
      <c r="F590" s="3">
        <v>1.55955105E8</v>
      </c>
    </row>
    <row r="591" ht="15.75" customHeight="1">
      <c r="A591" s="1" t="str">
        <f t="array" ref="A591">INDEX(Reference!$A$2:$A$18, INT((ROW()-2)/(18*3*2)) + 1)</f>
        <v>Central Luzon</v>
      </c>
      <c r="B591" s="2" t="str">
        <f t="array" ref="B591">INDEX(Reference!$C$2:$C$19, MOD(ROW()-2, 18) + 1)</f>
        <v>....Professional and business services</v>
      </c>
      <c r="C591" s="1" t="str">
        <f t="shared" si="1"/>
        <v>Sub</v>
      </c>
      <c r="D591" s="1">
        <f t="shared" si="2"/>
        <v>2024</v>
      </c>
      <c r="E591" s="1" t="str">
        <f t="shared" si="3"/>
        <v>At Current Prices</v>
      </c>
      <c r="F591" s="3">
        <v>1.5950639E8</v>
      </c>
    </row>
    <row r="592" ht="15.75" customHeight="1">
      <c r="A592" s="1" t="str">
        <f t="array" ref="A592">INDEX(Reference!$A$2:$A$18, INT((ROW()-2)/(18*3*2)) + 1)</f>
        <v>Central Luzon</v>
      </c>
      <c r="B592" s="2" t="str">
        <f t="array" ref="B592">INDEX(Reference!$C$2:$C$19, MOD(ROW()-2, 18) + 1)</f>
        <v>....Public administration and defense; compulsory social activities</v>
      </c>
      <c r="C592" s="1" t="str">
        <f t="shared" si="1"/>
        <v>Sub</v>
      </c>
      <c r="D592" s="1">
        <f t="shared" si="2"/>
        <v>2024</v>
      </c>
      <c r="E592" s="1" t="str">
        <f t="shared" si="3"/>
        <v>At Current Prices</v>
      </c>
      <c r="F592" s="3">
        <v>6.0335864E7</v>
      </c>
    </row>
    <row r="593" ht="15.75" customHeight="1">
      <c r="A593" s="1" t="str">
        <f t="array" ref="A593">INDEX(Reference!$A$2:$A$18, INT((ROW()-2)/(18*3*2)) + 1)</f>
        <v>Central Luzon</v>
      </c>
      <c r="B593" s="2" t="str">
        <f t="array" ref="B593">INDEX(Reference!$C$2:$C$19, MOD(ROW()-2, 18) + 1)</f>
        <v>....Education</v>
      </c>
      <c r="C593" s="1" t="str">
        <f t="shared" si="1"/>
        <v>Sub</v>
      </c>
      <c r="D593" s="1">
        <f t="shared" si="2"/>
        <v>2024</v>
      </c>
      <c r="E593" s="1" t="str">
        <f t="shared" si="3"/>
        <v>At Current Prices</v>
      </c>
      <c r="F593" s="3">
        <v>1.02477357E8</v>
      </c>
    </row>
    <row r="594" ht="15.75" customHeight="1">
      <c r="A594" s="1" t="str">
        <f t="array" ref="A594">INDEX(Reference!$A$2:$A$18, INT((ROW()-2)/(18*3*2)) + 1)</f>
        <v>Central Luzon</v>
      </c>
      <c r="B594" s="2" t="str">
        <f t="array" ref="B594">INDEX(Reference!$C$2:$C$19, MOD(ROW()-2, 18) + 1)</f>
        <v>....Human health and social work activities</v>
      </c>
      <c r="C594" s="1" t="str">
        <f t="shared" si="1"/>
        <v>Sub</v>
      </c>
      <c r="D594" s="1">
        <f t="shared" si="2"/>
        <v>2024</v>
      </c>
      <c r="E594" s="1" t="str">
        <f t="shared" si="3"/>
        <v>At Current Prices</v>
      </c>
      <c r="F594" s="3">
        <v>4.5760231E7</v>
      </c>
    </row>
    <row r="595" ht="15.75" customHeight="1">
      <c r="A595" s="1" t="str">
        <f t="array" ref="A595">INDEX(Reference!$A$2:$A$18, INT((ROW()-2)/(18*3*2)) + 1)</f>
        <v>Central Luzon</v>
      </c>
      <c r="B595" s="2" t="str">
        <f t="array" ref="B595">INDEX(Reference!$C$2:$C$19, MOD(ROW()-2, 18) + 1)</f>
        <v>....Other services</v>
      </c>
      <c r="C595" s="1" t="str">
        <f t="shared" si="1"/>
        <v>Sub</v>
      </c>
      <c r="D595" s="1">
        <f t="shared" si="2"/>
        <v>2024</v>
      </c>
      <c r="E595" s="1" t="str">
        <f t="shared" si="3"/>
        <v>At Current Prices</v>
      </c>
      <c r="F595" s="3">
        <v>8.672899E7</v>
      </c>
    </row>
    <row r="596" ht="15.75" customHeight="1">
      <c r="A596" s="1" t="str">
        <f t="array" ref="A596">INDEX(Reference!$A$2:$A$18, INT((ROW()-2)/(18*3*2)) + 1)</f>
        <v>Central Luzon</v>
      </c>
      <c r="B596" s="2" t="str">
        <f t="array" ref="B596">INDEX(Reference!$C$2:$C$19, MOD(ROW()-2, 18) + 1)</f>
        <v>..Agriculture, forestry, and fishing</v>
      </c>
      <c r="C596" s="1" t="str">
        <f t="shared" si="1"/>
        <v>Main</v>
      </c>
      <c r="D596" s="1">
        <f t="shared" si="2"/>
        <v>2022</v>
      </c>
      <c r="E596" s="1" t="str">
        <f t="shared" si="3"/>
        <v>At Constant 2018 Prices</v>
      </c>
      <c r="F596" s="3">
        <v>2.44145115E8</v>
      </c>
    </row>
    <row r="597" ht="15.75" customHeight="1">
      <c r="A597" s="1" t="str">
        <f t="array" ref="A597">INDEX(Reference!$A$2:$A$18, INT((ROW()-2)/(18*3*2)) + 1)</f>
        <v>Central Luzon</v>
      </c>
      <c r="B597" s="2" t="str">
        <f t="array" ref="B597">INDEX(Reference!$C$2:$C$19, MOD(ROW()-2, 18) + 1)</f>
        <v>..Industry</v>
      </c>
      <c r="C597" s="1" t="str">
        <f t="shared" si="1"/>
        <v>Main</v>
      </c>
      <c r="D597" s="1">
        <f t="shared" si="2"/>
        <v>2022</v>
      </c>
      <c r="E597" s="1" t="str">
        <f t="shared" si="3"/>
        <v>At Constant 2018 Prices</v>
      </c>
      <c r="F597" s="3">
        <v>9.2936152E8</v>
      </c>
    </row>
    <row r="598" ht="15.75" customHeight="1">
      <c r="A598" s="1" t="str">
        <f t="array" ref="A598">INDEX(Reference!$A$2:$A$18, INT((ROW()-2)/(18*3*2)) + 1)</f>
        <v>Central Luzon</v>
      </c>
      <c r="B598" s="2" t="str">
        <f t="array" ref="B598">INDEX(Reference!$C$2:$C$19, MOD(ROW()-2, 18) + 1)</f>
        <v>....Mining and quarrying</v>
      </c>
      <c r="C598" s="1" t="str">
        <f t="shared" si="1"/>
        <v>Sub</v>
      </c>
      <c r="D598" s="1">
        <f t="shared" si="2"/>
        <v>2022</v>
      </c>
      <c r="E598" s="1" t="str">
        <f t="shared" si="3"/>
        <v>At Constant 2018 Prices</v>
      </c>
      <c r="F598" s="3">
        <v>7838660.0</v>
      </c>
    </row>
    <row r="599" ht="15.75" customHeight="1">
      <c r="A599" s="1" t="str">
        <f t="array" ref="A599">INDEX(Reference!$A$2:$A$18, INT((ROW()-2)/(18*3*2)) + 1)</f>
        <v>Central Luzon</v>
      </c>
      <c r="B599" s="2" t="str">
        <f t="array" ref="B599">INDEX(Reference!$C$2:$C$19, MOD(ROW()-2, 18) + 1)</f>
        <v>....Manufacturing</v>
      </c>
      <c r="C599" s="1" t="str">
        <f t="shared" si="1"/>
        <v>Sub</v>
      </c>
      <c r="D599" s="1">
        <f t="shared" si="2"/>
        <v>2022</v>
      </c>
      <c r="E599" s="1" t="str">
        <f t="shared" si="3"/>
        <v>At Constant 2018 Prices</v>
      </c>
      <c r="F599" s="3">
        <v>5.94093891E8</v>
      </c>
    </row>
    <row r="600" ht="15.75" customHeight="1">
      <c r="A600" s="1" t="str">
        <f t="array" ref="A600">INDEX(Reference!$A$2:$A$18, INT((ROW()-2)/(18*3*2)) + 1)</f>
        <v>Central Luzon</v>
      </c>
      <c r="B600" s="2" t="str">
        <f t="array" ref="B600">INDEX(Reference!$C$2:$C$19, MOD(ROW()-2, 18) + 1)</f>
        <v>....Electricity, steam, water and waste management</v>
      </c>
      <c r="C600" s="1" t="str">
        <f t="shared" si="1"/>
        <v>Sub</v>
      </c>
      <c r="D600" s="1">
        <f t="shared" si="2"/>
        <v>2022</v>
      </c>
      <c r="E600" s="1" t="str">
        <f t="shared" si="3"/>
        <v>At Constant 2018 Prices</v>
      </c>
      <c r="F600" s="3">
        <v>7.052471E7</v>
      </c>
    </row>
    <row r="601" ht="15.75" customHeight="1">
      <c r="A601" s="1" t="str">
        <f t="array" ref="A601">INDEX(Reference!$A$2:$A$18, INT((ROW()-2)/(18*3*2)) + 1)</f>
        <v>Central Luzon</v>
      </c>
      <c r="B601" s="2" t="str">
        <f t="array" ref="B601">INDEX(Reference!$C$2:$C$19, MOD(ROW()-2, 18) + 1)</f>
        <v>....Construction</v>
      </c>
      <c r="C601" s="1" t="str">
        <f t="shared" si="1"/>
        <v>Sub</v>
      </c>
      <c r="D601" s="1">
        <f t="shared" si="2"/>
        <v>2022</v>
      </c>
      <c r="E601" s="1" t="str">
        <f t="shared" si="3"/>
        <v>At Constant 2018 Prices</v>
      </c>
      <c r="F601" s="3">
        <v>2.56904259E8</v>
      </c>
    </row>
    <row r="602" ht="15.75" customHeight="1">
      <c r="A602" s="1" t="str">
        <f t="array" ref="A602">INDEX(Reference!$A$2:$A$18, INT((ROW()-2)/(18*3*2)) + 1)</f>
        <v>Central Luzon</v>
      </c>
      <c r="B602" s="2" t="str">
        <f t="array" ref="B602">INDEX(Reference!$C$2:$C$19, MOD(ROW()-2, 18) + 1)</f>
        <v>..Services</v>
      </c>
      <c r="C602" s="1" t="str">
        <f t="shared" si="1"/>
        <v>Main</v>
      </c>
      <c r="D602" s="1">
        <f t="shared" si="2"/>
        <v>2022</v>
      </c>
      <c r="E602" s="1" t="str">
        <f t="shared" si="3"/>
        <v>At Constant 2018 Prices</v>
      </c>
      <c r="F602" s="3">
        <v>1.011278061E9</v>
      </c>
    </row>
    <row r="603" ht="15.75" customHeight="1">
      <c r="A603" s="1" t="str">
        <f t="array" ref="A603">INDEX(Reference!$A$2:$A$18, INT((ROW()-2)/(18*3*2)) + 1)</f>
        <v>Central Luzon</v>
      </c>
      <c r="B603" s="2" t="str">
        <f t="array" ref="B603">INDEX(Reference!$C$2:$C$19, MOD(ROW()-2, 18) + 1)</f>
        <v>....Wholesale and retail trade; repair of motor vehicles and motorcycles</v>
      </c>
      <c r="C603" s="1" t="str">
        <f t="shared" si="1"/>
        <v>Sub</v>
      </c>
      <c r="D603" s="1">
        <f t="shared" si="2"/>
        <v>2022</v>
      </c>
      <c r="E603" s="1" t="str">
        <f t="shared" si="3"/>
        <v>At Constant 2018 Prices</v>
      </c>
      <c r="F603" s="3">
        <v>2.6677936E8</v>
      </c>
    </row>
    <row r="604" ht="15.75" customHeight="1">
      <c r="A604" s="1" t="str">
        <f t="array" ref="A604">INDEX(Reference!$A$2:$A$18, INT((ROW()-2)/(18*3*2)) + 1)</f>
        <v>Central Luzon</v>
      </c>
      <c r="B604" s="2" t="str">
        <f t="array" ref="B604">INDEX(Reference!$C$2:$C$19, MOD(ROW()-2, 18) + 1)</f>
        <v>....Transportation and storage</v>
      </c>
      <c r="C604" s="1" t="str">
        <f t="shared" si="1"/>
        <v>Sub</v>
      </c>
      <c r="D604" s="1">
        <f t="shared" si="2"/>
        <v>2022</v>
      </c>
      <c r="E604" s="1" t="str">
        <f t="shared" si="3"/>
        <v>At Constant 2018 Prices</v>
      </c>
      <c r="F604" s="3">
        <v>8.2194884E7</v>
      </c>
    </row>
    <row r="605" ht="15.75" customHeight="1">
      <c r="A605" s="1" t="str">
        <f t="array" ref="A605">INDEX(Reference!$A$2:$A$18, INT((ROW()-2)/(18*3*2)) + 1)</f>
        <v>Central Luzon</v>
      </c>
      <c r="B605" s="2" t="str">
        <f t="array" ref="B605">INDEX(Reference!$C$2:$C$19, MOD(ROW()-2, 18) + 1)</f>
        <v>....Accommodation and food service activities</v>
      </c>
      <c r="C605" s="1" t="str">
        <f t="shared" si="1"/>
        <v>Sub</v>
      </c>
      <c r="D605" s="1">
        <f t="shared" si="2"/>
        <v>2022</v>
      </c>
      <c r="E605" s="1" t="str">
        <f t="shared" si="3"/>
        <v>At Constant 2018 Prices</v>
      </c>
      <c r="F605" s="3">
        <v>4.2171485E7</v>
      </c>
    </row>
    <row r="606" ht="15.75" customHeight="1">
      <c r="A606" s="1" t="str">
        <f t="array" ref="A606">INDEX(Reference!$A$2:$A$18, INT((ROW()-2)/(18*3*2)) + 1)</f>
        <v>Central Luzon</v>
      </c>
      <c r="B606" s="2" t="str">
        <f t="array" ref="B606">INDEX(Reference!$C$2:$C$19, MOD(ROW()-2, 18) + 1)</f>
        <v>....Information and communication</v>
      </c>
      <c r="C606" s="1" t="str">
        <f t="shared" si="1"/>
        <v>Sub</v>
      </c>
      <c r="D606" s="1">
        <f t="shared" si="2"/>
        <v>2022</v>
      </c>
      <c r="E606" s="1" t="str">
        <f t="shared" si="3"/>
        <v>At Constant 2018 Prices</v>
      </c>
      <c r="F606" s="3">
        <v>1.04261348E8</v>
      </c>
    </row>
    <row r="607" ht="15.75" customHeight="1">
      <c r="A607" s="1" t="str">
        <f t="array" ref="A607">INDEX(Reference!$A$2:$A$18, INT((ROW()-2)/(18*3*2)) + 1)</f>
        <v>Central Luzon</v>
      </c>
      <c r="B607" s="2" t="str">
        <f t="array" ref="B607">INDEX(Reference!$C$2:$C$19, MOD(ROW()-2, 18) + 1)</f>
        <v>....Financial and insurance activities</v>
      </c>
      <c r="C607" s="1" t="str">
        <f t="shared" si="1"/>
        <v>Sub</v>
      </c>
      <c r="D607" s="1">
        <f t="shared" si="2"/>
        <v>2022</v>
      </c>
      <c r="E607" s="1" t="str">
        <f t="shared" si="3"/>
        <v>At Constant 2018 Prices</v>
      </c>
      <c r="F607" s="3">
        <v>7.2703897E7</v>
      </c>
    </row>
    <row r="608" ht="15.75" customHeight="1">
      <c r="A608" s="1" t="str">
        <f t="array" ref="A608">INDEX(Reference!$A$2:$A$18, INT((ROW()-2)/(18*3*2)) + 1)</f>
        <v>Central Luzon</v>
      </c>
      <c r="B608" s="2" t="str">
        <f t="array" ref="B608">INDEX(Reference!$C$2:$C$19, MOD(ROW()-2, 18) + 1)</f>
        <v>....Real estate and ownership of dwellings</v>
      </c>
      <c r="C608" s="1" t="str">
        <f t="shared" si="1"/>
        <v>Sub</v>
      </c>
      <c r="D608" s="1">
        <f t="shared" si="2"/>
        <v>2022</v>
      </c>
      <c r="E608" s="1" t="str">
        <f t="shared" si="3"/>
        <v>At Constant 2018 Prices</v>
      </c>
      <c r="F608" s="3">
        <v>1.11210024E8</v>
      </c>
    </row>
    <row r="609" ht="15.75" customHeight="1">
      <c r="A609" s="1" t="str">
        <f t="array" ref="A609">INDEX(Reference!$A$2:$A$18, INT((ROW()-2)/(18*3*2)) + 1)</f>
        <v>Central Luzon</v>
      </c>
      <c r="B609" s="2" t="str">
        <f t="array" ref="B609">INDEX(Reference!$C$2:$C$19, MOD(ROW()-2, 18) + 1)</f>
        <v>....Professional and business services</v>
      </c>
      <c r="C609" s="1" t="str">
        <f t="shared" si="1"/>
        <v>Sub</v>
      </c>
      <c r="D609" s="1">
        <f t="shared" si="2"/>
        <v>2022</v>
      </c>
      <c r="E609" s="1" t="str">
        <f t="shared" si="3"/>
        <v>At Constant 2018 Prices</v>
      </c>
      <c r="F609" s="3">
        <v>1.20980515E8</v>
      </c>
    </row>
    <row r="610" ht="15.75" customHeight="1">
      <c r="A610" s="1" t="str">
        <f t="array" ref="A610">INDEX(Reference!$A$2:$A$18, INT((ROW()-2)/(18*3*2)) + 1)</f>
        <v>Central Luzon</v>
      </c>
      <c r="B610" s="2" t="str">
        <f t="array" ref="B610">INDEX(Reference!$C$2:$C$19, MOD(ROW()-2, 18) + 1)</f>
        <v>....Public administration and defense; compulsory social activities</v>
      </c>
      <c r="C610" s="1" t="str">
        <f t="shared" si="1"/>
        <v>Sub</v>
      </c>
      <c r="D610" s="1">
        <f t="shared" si="2"/>
        <v>2022</v>
      </c>
      <c r="E610" s="1" t="str">
        <f t="shared" si="3"/>
        <v>At Constant 2018 Prices</v>
      </c>
      <c r="F610" s="3">
        <v>4.7292076E7</v>
      </c>
    </row>
    <row r="611" ht="15.75" customHeight="1">
      <c r="A611" s="1" t="str">
        <f t="array" ref="A611">INDEX(Reference!$A$2:$A$18, INT((ROW()-2)/(18*3*2)) + 1)</f>
        <v>Central Luzon</v>
      </c>
      <c r="B611" s="2" t="str">
        <f t="array" ref="B611">INDEX(Reference!$C$2:$C$19, MOD(ROW()-2, 18) + 1)</f>
        <v>....Education</v>
      </c>
      <c r="C611" s="1" t="str">
        <f t="shared" si="1"/>
        <v>Sub</v>
      </c>
      <c r="D611" s="1">
        <f t="shared" si="2"/>
        <v>2022</v>
      </c>
      <c r="E611" s="1" t="str">
        <f t="shared" si="3"/>
        <v>At Constant 2018 Prices</v>
      </c>
      <c r="F611" s="3">
        <v>8.0336165E7</v>
      </c>
    </row>
    <row r="612" ht="15.75" customHeight="1">
      <c r="A612" s="1" t="str">
        <f t="array" ref="A612">INDEX(Reference!$A$2:$A$18, INT((ROW()-2)/(18*3*2)) + 1)</f>
        <v>Central Luzon</v>
      </c>
      <c r="B612" s="2" t="str">
        <f t="array" ref="B612">INDEX(Reference!$C$2:$C$19, MOD(ROW()-2, 18) + 1)</f>
        <v>....Human health and social work activities</v>
      </c>
      <c r="C612" s="1" t="str">
        <f t="shared" si="1"/>
        <v>Sub</v>
      </c>
      <c r="D612" s="1">
        <f t="shared" si="2"/>
        <v>2022</v>
      </c>
      <c r="E612" s="1" t="str">
        <f t="shared" si="3"/>
        <v>At Constant 2018 Prices</v>
      </c>
      <c r="F612" s="3">
        <v>3.1318411E7</v>
      </c>
    </row>
    <row r="613" ht="15.75" customHeight="1">
      <c r="A613" s="1" t="str">
        <f t="array" ref="A613">INDEX(Reference!$A$2:$A$18, INT((ROW()-2)/(18*3*2)) + 1)</f>
        <v>Central Luzon</v>
      </c>
      <c r="B613" s="2" t="str">
        <f t="array" ref="B613">INDEX(Reference!$C$2:$C$19, MOD(ROW()-2, 18) + 1)</f>
        <v>....Other services</v>
      </c>
      <c r="C613" s="1" t="str">
        <f t="shared" si="1"/>
        <v>Sub</v>
      </c>
      <c r="D613" s="1">
        <f t="shared" si="2"/>
        <v>2022</v>
      </c>
      <c r="E613" s="1" t="str">
        <f t="shared" si="3"/>
        <v>At Constant 2018 Prices</v>
      </c>
      <c r="F613" s="3">
        <v>5.2029896E7</v>
      </c>
    </row>
    <row r="614" ht="15.75" customHeight="1">
      <c r="A614" s="1" t="str">
        <f t="array" ref="A614">INDEX(Reference!$A$2:$A$18, INT((ROW()-2)/(18*3*2)) + 1)</f>
        <v>Central Luzon</v>
      </c>
      <c r="B614" s="2" t="str">
        <f t="array" ref="B614">INDEX(Reference!$C$2:$C$19, MOD(ROW()-2, 18) + 1)</f>
        <v>..Agriculture, forestry, and fishing</v>
      </c>
      <c r="C614" s="1" t="str">
        <f t="shared" si="1"/>
        <v>Main</v>
      </c>
      <c r="D614" s="1">
        <f t="shared" si="2"/>
        <v>2023</v>
      </c>
      <c r="E614" s="1" t="str">
        <f t="shared" si="3"/>
        <v>At Constant 2018 Prices</v>
      </c>
      <c r="F614" s="3">
        <v>2.49631767E8</v>
      </c>
    </row>
    <row r="615" ht="15.75" customHeight="1">
      <c r="A615" s="1" t="str">
        <f t="array" ref="A615">INDEX(Reference!$A$2:$A$18, INT((ROW()-2)/(18*3*2)) + 1)</f>
        <v>Central Luzon</v>
      </c>
      <c r="B615" s="2" t="str">
        <f t="array" ref="B615">INDEX(Reference!$C$2:$C$19, MOD(ROW()-2, 18) + 1)</f>
        <v>..Industry</v>
      </c>
      <c r="C615" s="1" t="str">
        <f t="shared" si="1"/>
        <v>Main</v>
      </c>
      <c r="D615" s="1">
        <f t="shared" si="2"/>
        <v>2023</v>
      </c>
      <c r="E615" s="1" t="str">
        <f t="shared" si="3"/>
        <v>At Constant 2018 Prices</v>
      </c>
      <c r="F615" s="3">
        <v>9.80920644E8</v>
      </c>
    </row>
    <row r="616" ht="15.75" customHeight="1">
      <c r="A616" s="1" t="str">
        <f t="array" ref="A616">INDEX(Reference!$A$2:$A$18, INT((ROW()-2)/(18*3*2)) + 1)</f>
        <v>Central Luzon</v>
      </c>
      <c r="B616" s="2" t="str">
        <f t="array" ref="B616">INDEX(Reference!$C$2:$C$19, MOD(ROW()-2, 18) + 1)</f>
        <v>....Mining and quarrying</v>
      </c>
      <c r="C616" s="1" t="str">
        <f t="shared" si="1"/>
        <v>Sub</v>
      </c>
      <c r="D616" s="1">
        <f t="shared" si="2"/>
        <v>2023</v>
      </c>
      <c r="E616" s="1" t="str">
        <f t="shared" si="3"/>
        <v>At Constant 2018 Prices</v>
      </c>
      <c r="F616" s="3">
        <v>1.0030026E7</v>
      </c>
    </row>
    <row r="617" ht="15.75" customHeight="1">
      <c r="A617" s="1" t="str">
        <f t="array" ref="A617">INDEX(Reference!$A$2:$A$18, INT((ROW()-2)/(18*3*2)) + 1)</f>
        <v>Central Luzon</v>
      </c>
      <c r="B617" s="2" t="str">
        <f t="array" ref="B617">INDEX(Reference!$C$2:$C$19, MOD(ROW()-2, 18) + 1)</f>
        <v>....Manufacturing</v>
      </c>
      <c r="C617" s="1" t="str">
        <f t="shared" si="1"/>
        <v>Sub</v>
      </c>
      <c r="D617" s="1">
        <f t="shared" si="2"/>
        <v>2023</v>
      </c>
      <c r="E617" s="1" t="str">
        <f t="shared" si="3"/>
        <v>At Constant 2018 Prices</v>
      </c>
      <c r="F617" s="3">
        <v>6.18257575E8</v>
      </c>
    </row>
    <row r="618" ht="15.75" customHeight="1">
      <c r="A618" s="1" t="str">
        <f t="array" ref="A618">INDEX(Reference!$A$2:$A$18, INT((ROW()-2)/(18*3*2)) + 1)</f>
        <v>Central Luzon</v>
      </c>
      <c r="B618" s="2" t="str">
        <f t="array" ref="B618">INDEX(Reference!$C$2:$C$19, MOD(ROW()-2, 18) + 1)</f>
        <v>....Electricity, steam, water and waste management</v>
      </c>
      <c r="C618" s="1" t="str">
        <f t="shared" si="1"/>
        <v>Sub</v>
      </c>
      <c r="D618" s="1">
        <f t="shared" si="2"/>
        <v>2023</v>
      </c>
      <c r="E618" s="1" t="str">
        <f t="shared" si="3"/>
        <v>At Constant 2018 Prices</v>
      </c>
      <c r="F618" s="3">
        <v>7.6949276E7</v>
      </c>
    </row>
    <row r="619" ht="15.75" customHeight="1">
      <c r="A619" s="1" t="str">
        <f t="array" ref="A619">INDEX(Reference!$A$2:$A$18, INT((ROW()-2)/(18*3*2)) + 1)</f>
        <v>Central Luzon</v>
      </c>
      <c r="B619" s="2" t="str">
        <f t="array" ref="B619">INDEX(Reference!$C$2:$C$19, MOD(ROW()-2, 18) + 1)</f>
        <v>....Construction</v>
      </c>
      <c r="C619" s="1" t="str">
        <f t="shared" si="1"/>
        <v>Sub</v>
      </c>
      <c r="D619" s="1">
        <f t="shared" si="2"/>
        <v>2023</v>
      </c>
      <c r="E619" s="1" t="str">
        <f t="shared" si="3"/>
        <v>At Constant 2018 Prices</v>
      </c>
      <c r="F619" s="3">
        <v>2.75683766E8</v>
      </c>
    </row>
    <row r="620" ht="15.75" customHeight="1">
      <c r="A620" s="1" t="str">
        <f t="array" ref="A620">INDEX(Reference!$A$2:$A$18, INT((ROW()-2)/(18*3*2)) + 1)</f>
        <v>Central Luzon</v>
      </c>
      <c r="B620" s="2" t="str">
        <f t="array" ref="B620">INDEX(Reference!$C$2:$C$19, MOD(ROW()-2, 18) + 1)</f>
        <v>..Services</v>
      </c>
      <c r="C620" s="1" t="str">
        <f t="shared" si="1"/>
        <v>Main</v>
      </c>
      <c r="D620" s="1">
        <f t="shared" si="2"/>
        <v>2023</v>
      </c>
      <c r="E620" s="1" t="str">
        <f t="shared" si="3"/>
        <v>At Constant 2018 Prices</v>
      </c>
      <c r="F620" s="3">
        <v>1.086422266E9</v>
      </c>
    </row>
    <row r="621" ht="15.75" customHeight="1">
      <c r="A621" s="1" t="str">
        <f t="array" ref="A621">INDEX(Reference!$A$2:$A$18, INT((ROW()-2)/(18*3*2)) + 1)</f>
        <v>Central Luzon</v>
      </c>
      <c r="B621" s="2" t="str">
        <f t="array" ref="B621">INDEX(Reference!$C$2:$C$19, MOD(ROW()-2, 18) + 1)</f>
        <v>....Wholesale and retail trade; repair of motor vehicles and motorcycles</v>
      </c>
      <c r="C621" s="1" t="str">
        <f t="shared" si="1"/>
        <v>Sub</v>
      </c>
      <c r="D621" s="1">
        <f t="shared" si="2"/>
        <v>2023</v>
      </c>
      <c r="E621" s="1" t="str">
        <f t="shared" si="3"/>
        <v>At Constant 2018 Prices</v>
      </c>
      <c r="F621" s="3">
        <v>2.78745708E8</v>
      </c>
    </row>
    <row r="622" ht="15.75" customHeight="1">
      <c r="A622" s="1" t="str">
        <f t="array" ref="A622">INDEX(Reference!$A$2:$A$18, INT((ROW()-2)/(18*3*2)) + 1)</f>
        <v>Central Luzon</v>
      </c>
      <c r="B622" s="2" t="str">
        <f t="array" ref="B622">INDEX(Reference!$C$2:$C$19, MOD(ROW()-2, 18) + 1)</f>
        <v>....Transportation and storage</v>
      </c>
      <c r="C622" s="1" t="str">
        <f t="shared" si="1"/>
        <v>Sub</v>
      </c>
      <c r="D622" s="1">
        <f t="shared" si="2"/>
        <v>2023</v>
      </c>
      <c r="E622" s="1" t="str">
        <f t="shared" si="3"/>
        <v>At Constant 2018 Prices</v>
      </c>
      <c r="F622" s="3">
        <v>9.024068E7</v>
      </c>
    </row>
    <row r="623" ht="15.75" customHeight="1">
      <c r="A623" s="1" t="str">
        <f t="array" ref="A623">INDEX(Reference!$A$2:$A$18, INT((ROW()-2)/(18*3*2)) + 1)</f>
        <v>Central Luzon</v>
      </c>
      <c r="B623" s="2" t="str">
        <f t="array" ref="B623">INDEX(Reference!$C$2:$C$19, MOD(ROW()-2, 18) + 1)</f>
        <v>....Accommodation and food service activities</v>
      </c>
      <c r="C623" s="1" t="str">
        <f t="shared" si="1"/>
        <v>Sub</v>
      </c>
      <c r="D623" s="1">
        <f t="shared" si="2"/>
        <v>2023</v>
      </c>
      <c r="E623" s="1" t="str">
        <f t="shared" si="3"/>
        <v>At Constant 2018 Prices</v>
      </c>
      <c r="F623" s="3">
        <v>5.3611027E7</v>
      </c>
    </row>
    <row r="624" ht="15.75" customHeight="1">
      <c r="A624" s="1" t="str">
        <f t="array" ref="A624">INDEX(Reference!$A$2:$A$18, INT((ROW()-2)/(18*3*2)) + 1)</f>
        <v>Central Luzon</v>
      </c>
      <c r="B624" s="2" t="str">
        <f t="array" ref="B624">INDEX(Reference!$C$2:$C$19, MOD(ROW()-2, 18) + 1)</f>
        <v>....Information and communication</v>
      </c>
      <c r="C624" s="1" t="str">
        <f t="shared" si="1"/>
        <v>Sub</v>
      </c>
      <c r="D624" s="1">
        <f t="shared" si="2"/>
        <v>2023</v>
      </c>
      <c r="E624" s="1" t="str">
        <f t="shared" si="3"/>
        <v>At Constant 2018 Prices</v>
      </c>
      <c r="F624" s="3">
        <v>1.09747929E8</v>
      </c>
    </row>
    <row r="625" ht="15.75" customHeight="1">
      <c r="A625" s="1" t="str">
        <f t="array" ref="A625">INDEX(Reference!$A$2:$A$18, INT((ROW()-2)/(18*3*2)) + 1)</f>
        <v>Central Luzon</v>
      </c>
      <c r="B625" s="2" t="str">
        <f t="array" ref="B625">INDEX(Reference!$C$2:$C$19, MOD(ROW()-2, 18) + 1)</f>
        <v>....Financial and insurance activities</v>
      </c>
      <c r="C625" s="1" t="str">
        <f t="shared" si="1"/>
        <v>Sub</v>
      </c>
      <c r="D625" s="1">
        <f t="shared" si="2"/>
        <v>2023</v>
      </c>
      <c r="E625" s="1" t="str">
        <f t="shared" si="3"/>
        <v>At Constant 2018 Prices</v>
      </c>
      <c r="F625" s="3">
        <v>8.0592876E7</v>
      </c>
    </row>
    <row r="626" ht="15.75" customHeight="1">
      <c r="A626" s="1" t="str">
        <f t="array" ref="A626">INDEX(Reference!$A$2:$A$18, INT((ROW()-2)/(18*3*2)) + 1)</f>
        <v>Central Luzon</v>
      </c>
      <c r="B626" s="2" t="str">
        <f t="array" ref="B626">INDEX(Reference!$C$2:$C$19, MOD(ROW()-2, 18) + 1)</f>
        <v>....Real estate and ownership of dwellings</v>
      </c>
      <c r="C626" s="1" t="str">
        <f t="shared" si="1"/>
        <v>Sub</v>
      </c>
      <c r="D626" s="1">
        <f t="shared" si="2"/>
        <v>2023</v>
      </c>
      <c r="E626" s="1" t="str">
        <f t="shared" si="3"/>
        <v>At Constant 2018 Prices</v>
      </c>
      <c r="F626" s="3">
        <v>1.16963992E8</v>
      </c>
    </row>
    <row r="627" ht="15.75" customHeight="1">
      <c r="A627" s="1" t="str">
        <f t="array" ref="A627">INDEX(Reference!$A$2:$A$18, INT((ROW()-2)/(18*3*2)) + 1)</f>
        <v>Central Luzon</v>
      </c>
      <c r="B627" s="2" t="str">
        <f t="array" ref="B627">INDEX(Reference!$C$2:$C$19, MOD(ROW()-2, 18) + 1)</f>
        <v>....Professional and business services</v>
      </c>
      <c r="C627" s="1" t="str">
        <f t="shared" si="1"/>
        <v>Sub</v>
      </c>
      <c r="D627" s="1">
        <f t="shared" si="2"/>
        <v>2023</v>
      </c>
      <c r="E627" s="1" t="str">
        <f t="shared" si="3"/>
        <v>At Constant 2018 Prices</v>
      </c>
      <c r="F627" s="3">
        <v>1.30117647E8</v>
      </c>
    </row>
    <row r="628" ht="15.75" customHeight="1">
      <c r="A628" s="1" t="str">
        <f t="array" ref="A628">INDEX(Reference!$A$2:$A$18, INT((ROW()-2)/(18*3*2)) + 1)</f>
        <v>Central Luzon</v>
      </c>
      <c r="B628" s="2" t="str">
        <f t="array" ref="B628">INDEX(Reference!$C$2:$C$19, MOD(ROW()-2, 18) + 1)</f>
        <v>....Public administration and defense; compulsory social activities</v>
      </c>
      <c r="C628" s="1" t="str">
        <f t="shared" si="1"/>
        <v>Sub</v>
      </c>
      <c r="D628" s="1">
        <f t="shared" si="2"/>
        <v>2023</v>
      </c>
      <c r="E628" s="1" t="str">
        <f t="shared" si="3"/>
        <v>At Constant 2018 Prices</v>
      </c>
      <c r="F628" s="3">
        <v>4.5286731E7</v>
      </c>
    </row>
    <row r="629" ht="15.75" customHeight="1">
      <c r="A629" s="1" t="str">
        <f t="array" ref="A629">INDEX(Reference!$A$2:$A$18, INT((ROW()-2)/(18*3*2)) + 1)</f>
        <v>Central Luzon</v>
      </c>
      <c r="B629" s="2" t="str">
        <f t="array" ref="B629">INDEX(Reference!$C$2:$C$19, MOD(ROW()-2, 18) + 1)</f>
        <v>....Education</v>
      </c>
      <c r="C629" s="1" t="str">
        <f t="shared" si="1"/>
        <v>Sub</v>
      </c>
      <c r="D629" s="1">
        <f t="shared" si="2"/>
        <v>2023</v>
      </c>
      <c r="E629" s="1" t="str">
        <f t="shared" si="3"/>
        <v>At Constant 2018 Prices</v>
      </c>
      <c r="F629" s="3">
        <v>8.4514463E7</v>
      </c>
    </row>
    <row r="630" ht="15.75" customHeight="1">
      <c r="A630" s="1" t="str">
        <f t="array" ref="A630">INDEX(Reference!$A$2:$A$18, INT((ROW()-2)/(18*3*2)) + 1)</f>
        <v>Central Luzon</v>
      </c>
      <c r="B630" s="2" t="str">
        <f t="array" ref="B630">INDEX(Reference!$C$2:$C$19, MOD(ROW()-2, 18) + 1)</f>
        <v>....Human health and social work activities</v>
      </c>
      <c r="C630" s="1" t="str">
        <f t="shared" si="1"/>
        <v>Sub</v>
      </c>
      <c r="D630" s="1">
        <f t="shared" si="2"/>
        <v>2023</v>
      </c>
      <c r="E630" s="1" t="str">
        <f t="shared" si="3"/>
        <v>At Constant 2018 Prices</v>
      </c>
      <c r="F630" s="3">
        <v>3.2639433E7</v>
      </c>
    </row>
    <row r="631" ht="15.75" customHeight="1">
      <c r="A631" s="1" t="str">
        <f t="array" ref="A631">INDEX(Reference!$A$2:$A$18, INT((ROW()-2)/(18*3*2)) + 1)</f>
        <v>Central Luzon</v>
      </c>
      <c r="B631" s="2" t="str">
        <f t="array" ref="B631">INDEX(Reference!$C$2:$C$19, MOD(ROW()-2, 18) + 1)</f>
        <v>....Other services</v>
      </c>
      <c r="C631" s="1" t="str">
        <f t="shared" si="1"/>
        <v>Sub</v>
      </c>
      <c r="D631" s="1">
        <f t="shared" si="2"/>
        <v>2023</v>
      </c>
      <c r="E631" s="1" t="str">
        <f t="shared" si="3"/>
        <v>At Constant 2018 Prices</v>
      </c>
      <c r="F631" s="3">
        <v>6.3961781E7</v>
      </c>
    </row>
    <row r="632" ht="15.75" customHeight="1">
      <c r="A632" s="1" t="str">
        <f t="array" ref="A632">INDEX(Reference!$A$2:$A$18, INT((ROW()-2)/(18*3*2)) + 1)</f>
        <v>Central Luzon</v>
      </c>
      <c r="B632" s="2" t="str">
        <f t="array" ref="B632">INDEX(Reference!$C$2:$C$19, MOD(ROW()-2, 18) + 1)</f>
        <v>..Agriculture, forestry, and fishing</v>
      </c>
      <c r="C632" s="1" t="str">
        <f t="shared" si="1"/>
        <v>Main</v>
      </c>
      <c r="D632" s="1">
        <f t="shared" si="2"/>
        <v>2024</v>
      </c>
      <c r="E632" s="1" t="str">
        <f t="shared" si="3"/>
        <v>At Constant 2018 Prices</v>
      </c>
      <c r="F632" s="3">
        <v>2.4875976E8</v>
      </c>
    </row>
    <row r="633" ht="15.75" customHeight="1">
      <c r="A633" s="1" t="str">
        <f t="array" ref="A633">INDEX(Reference!$A$2:$A$18, INT((ROW()-2)/(18*3*2)) + 1)</f>
        <v>Central Luzon</v>
      </c>
      <c r="B633" s="2" t="str">
        <f t="array" ref="B633">INDEX(Reference!$C$2:$C$19, MOD(ROW()-2, 18) + 1)</f>
        <v>..Industry</v>
      </c>
      <c r="C633" s="1" t="str">
        <f t="shared" si="1"/>
        <v>Main</v>
      </c>
      <c r="D633" s="1">
        <f t="shared" si="2"/>
        <v>2024</v>
      </c>
      <c r="E633" s="1" t="str">
        <f t="shared" si="3"/>
        <v>At Constant 2018 Prices</v>
      </c>
      <c r="F633" s="3">
        <v>1.052171581E9</v>
      </c>
    </row>
    <row r="634" ht="15.75" customHeight="1">
      <c r="A634" s="1" t="str">
        <f t="array" ref="A634">INDEX(Reference!$A$2:$A$18, INT((ROW()-2)/(18*3*2)) + 1)</f>
        <v>Central Luzon</v>
      </c>
      <c r="B634" s="2" t="str">
        <f t="array" ref="B634">INDEX(Reference!$C$2:$C$19, MOD(ROW()-2, 18) + 1)</f>
        <v>....Mining and quarrying</v>
      </c>
      <c r="C634" s="1" t="str">
        <f t="shared" si="1"/>
        <v>Sub</v>
      </c>
      <c r="D634" s="1">
        <f t="shared" si="2"/>
        <v>2024</v>
      </c>
      <c r="E634" s="1" t="str">
        <f t="shared" si="3"/>
        <v>At Constant 2018 Prices</v>
      </c>
      <c r="F634" s="3">
        <v>8460206.0</v>
      </c>
    </row>
    <row r="635" ht="15.75" customHeight="1">
      <c r="A635" s="1" t="str">
        <f t="array" ref="A635">INDEX(Reference!$A$2:$A$18, INT((ROW()-2)/(18*3*2)) + 1)</f>
        <v>Central Luzon</v>
      </c>
      <c r="B635" s="2" t="str">
        <f t="array" ref="B635">INDEX(Reference!$C$2:$C$19, MOD(ROW()-2, 18) + 1)</f>
        <v>....Manufacturing</v>
      </c>
      <c r="C635" s="1" t="str">
        <f t="shared" si="1"/>
        <v>Sub</v>
      </c>
      <c r="D635" s="1">
        <f t="shared" si="2"/>
        <v>2024</v>
      </c>
      <c r="E635" s="1" t="str">
        <f t="shared" si="3"/>
        <v>At Constant 2018 Prices</v>
      </c>
      <c r="F635" s="3">
        <v>6.49091734E8</v>
      </c>
    </row>
    <row r="636" ht="15.75" customHeight="1">
      <c r="A636" s="1" t="str">
        <f t="array" ref="A636">INDEX(Reference!$A$2:$A$18, INT((ROW()-2)/(18*3*2)) + 1)</f>
        <v>Central Luzon</v>
      </c>
      <c r="B636" s="2" t="str">
        <f t="array" ref="B636">INDEX(Reference!$C$2:$C$19, MOD(ROW()-2, 18) + 1)</f>
        <v>....Electricity, steam, water and waste management</v>
      </c>
      <c r="C636" s="1" t="str">
        <f t="shared" si="1"/>
        <v>Sub</v>
      </c>
      <c r="D636" s="1">
        <f t="shared" si="2"/>
        <v>2024</v>
      </c>
      <c r="E636" s="1" t="str">
        <f t="shared" si="3"/>
        <v>At Constant 2018 Prices</v>
      </c>
      <c r="F636" s="3">
        <v>8.1160674E7</v>
      </c>
    </row>
    <row r="637" ht="15.75" customHeight="1">
      <c r="A637" s="1" t="str">
        <f t="array" ref="A637">INDEX(Reference!$A$2:$A$18, INT((ROW()-2)/(18*3*2)) + 1)</f>
        <v>Central Luzon</v>
      </c>
      <c r="B637" s="2" t="str">
        <f t="array" ref="B637">INDEX(Reference!$C$2:$C$19, MOD(ROW()-2, 18) + 1)</f>
        <v>....Construction</v>
      </c>
      <c r="C637" s="1" t="str">
        <f t="shared" si="1"/>
        <v>Sub</v>
      </c>
      <c r="D637" s="1">
        <f t="shared" si="2"/>
        <v>2024</v>
      </c>
      <c r="E637" s="1" t="str">
        <f t="shared" si="3"/>
        <v>At Constant 2018 Prices</v>
      </c>
      <c r="F637" s="3">
        <v>3.13458967E8</v>
      </c>
    </row>
    <row r="638" ht="15.75" customHeight="1">
      <c r="A638" s="1" t="str">
        <f t="array" ref="A638">INDEX(Reference!$A$2:$A$18, INT((ROW()-2)/(18*3*2)) + 1)</f>
        <v>Central Luzon</v>
      </c>
      <c r="B638" s="2" t="str">
        <f t="array" ref="B638">INDEX(Reference!$C$2:$C$19, MOD(ROW()-2, 18) + 1)</f>
        <v>..Services</v>
      </c>
      <c r="C638" s="1" t="str">
        <f t="shared" si="1"/>
        <v>Main</v>
      </c>
      <c r="D638" s="1">
        <f t="shared" si="2"/>
        <v>2024</v>
      </c>
      <c r="E638" s="1" t="str">
        <f t="shared" si="3"/>
        <v>At Constant 2018 Prices</v>
      </c>
      <c r="F638" s="3">
        <v>1.166985402E9</v>
      </c>
    </row>
    <row r="639" ht="15.75" customHeight="1">
      <c r="A639" s="1" t="str">
        <f t="array" ref="A639">INDEX(Reference!$A$2:$A$18, INT((ROW()-2)/(18*3*2)) + 1)</f>
        <v>Central Luzon</v>
      </c>
      <c r="B639" s="2" t="str">
        <f t="array" ref="B639">INDEX(Reference!$C$2:$C$19, MOD(ROW()-2, 18) + 1)</f>
        <v>....Wholesale and retail trade; repair of motor vehicles and motorcycles</v>
      </c>
      <c r="C639" s="1" t="str">
        <f t="shared" si="1"/>
        <v>Sub</v>
      </c>
      <c r="D639" s="1">
        <f t="shared" si="2"/>
        <v>2024</v>
      </c>
      <c r="E639" s="1" t="str">
        <f t="shared" si="3"/>
        <v>At Constant 2018 Prices</v>
      </c>
      <c r="F639" s="3">
        <v>2.99032426E8</v>
      </c>
    </row>
    <row r="640" ht="15.75" customHeight="1">
      <c r="A640" s="1" t="str">
        <f t="array" ref="A640">INDEX(Reference!$A$2:$A$18, INT((ROW()-2)/(18*3*2)) + 1)</f>
        <v>Central Luzon</v>
      </c>
      <c r="B640" s="2" t="str">
        <f t="array" ref="B640">INDEX(Reference!$C$2:$C$19, MOD(ROW()-2, 18) + 1)</f>
        <v>....Transportation and storage</v>
      </c>
      <c r="C640" s="1" t="str">
        <f t="shared" si="1"/>
        <v>Sub</v>
      </c>
      <c r="D640" s="1">
        <f t="shared" si="2"/>
        <v>2024</v>
      </c>
      <c r="E640" s="1" t="str">
        <f t="shared" si="3"/>
        <v>At Constant 2018 Prices</v>
      </c>
      <c r="F640" s="3">
        <v>9.6399359E7</v>
      </c>
    </row>
    <row r="641" ht="15.75" customHeight="1">
      <c r="A641" s="1" t="str">
        <f t="array" ref="A641">INDEX(Reference!$A$2:$A$18, INT((ROW()-2)/(18*3*2)) + 1)</f>
        <v>Central Luzon</v>
      </c>
      <c r="B641" s="2" t="str">
        <f t="array" ref="B641">INDEX(Reference!$C$2:$C$19, MOD(ROW()-2, 18) + 1)</f>
        <v>....Accommodation and food service activities</v>
      </c>
      <c r="C641" s="1" t="str">
        <f t="shared" si="1"/>
        <v>Sub</v>
      </c>
      <c r="D641" s="1">
        <f t="shared" si="2"/>
        <v>2024</v>
      </c>
      <c r="E641" s="1" t="str">
        <f t="shared" si="3"/>
        <v>At Constant 2018 Prices</v>
      </c>
      <c r="F641" s="3">
        <v>5.8243178E7</v>
      </c>
    </row>
    <row r="642" ht="15.75" customHeight="1">
      <c r="A642" s="1" t="str">
        <f t="array" ref="A642">INDEX(Reference!$A$2:$A$18, INT((ROW()-2)/(18*3*2)) + 1)</f>
        <v>Central Luzon</v>
      </c>
      <c r="B642" s="2" t="str">
        <f t="array" ref="B642">INDEX(Reference!$C$2:$C$19, MOD(ROW()-2, 18) + 1)</f>
        <v>....Information and communication</v>
      </c>
      <c r="C642" s="1" t="str">
        <f t="shared" si="1"/>
        <v>Sub</v>
      </c>
      <c r="D642" s="1">
        <f t="shared" si="2"/>
        <v>2024</v>
      </c>
      <c r="E642" s="1" t="str">
        <f t="shared" si="3"/>
        <v>At Constant 2018 Prices</v>
      </c>
      <c r="F642" s="3">
        <v>1.1520943E8</v>
      </c>
    </row>
    <row r="643" ht="15.75" customHeight="1">
      <c r="A643" s="1" t="str">
        <f t="array" ref="A643">INDEX(Reference!$A$2:$A$18, INT((ROW()-2)/(18*3*2)) + 1)</f>
        <v>Central Luzon</v>
      </c>
      <c r="B643" s="2" t="str">
        <f t="array" ref="B643">INDEX(Reference!$C$2:$C$19, MOD(ROW()-2, 18) + 1)</f>
        <v>....Financial and insurance activities</v>
      </c>
      <c r="C643" s="1" t="str">
        <f t="shared" si="1"/>
        <v>Sub</v>
      </c>
      <c r="D643" s="1">
        <f t="shared" si="2"/>
        <v>2024</v>
      </c>
      <c r="E643" s="1" t="str">
        <f t="shared" si="3"/>
        <v>At Constant 2018 Prices</v>
      </c>
      <c r="F643" s="3">
        <v>8.9401683E7</v>
      </c>
    </row>
    <row r="644" ht="15.75" customHeight="1">
      <c r="A644" s="1" t="str">
        <f t="array" ref="A644">INDEX(Reference!$A$2:$A$18, INT((ROW()-2)/(18*3*2)) + 1)</f>
        <v>Central Luzon</v>
      </c>
      <c r="B644" s="2" t="str">
        <f t="array" ref="B644">INDEX(Reference!$C$2:$C$19, MOD(ROW()-2, 18) + 1)</f>
        <v>....Real estate and ownership of dwellings</v>
      </c>
      <c r="C644" s="1" t="str">
        <f t="shared" si="1"/>
        <v>Sub</v>
      </c>
      <c r="D644" s="1">
        <f t="shared" si="2"/>
        <v>2024</v>
      </c>
      <c r="E644" s="1" t="str">
        <f t="shared" si="3"/>
        <v>At Constant 2018 Prices</v>
      </c>
      <c r="F644" s="3">
        <v>1.2297885E8</v>
      </c>
    </row>
    <row r="645" ht="15.75" customHeight="1">
      <c r="A645" s="1" t="str">
        <f t="array" ref="A645">INDEX(Reference!$A$2:$A$18, INT((ROW()-2)/(18*3*2)) + 1)</f>
        <v>Central Luzon</v>
      </c>
      <c r="B645" s="2" t="str">
        <f t="array" ref="B645">INDEX(Reference!$C$2:$C$19, MOD(ROW()-2, 18) + 1)</f>
        <v>....Professional and business services</v>
      </c>
      <c r="C645" s="1" t="str">
        <f t="shared" si="1"/>
        <v>Sub</v>
      </c>
      <c r="D645" s="1">
        <f t="shared" si="2"/>
        <v>2024</v>
      </c>
      <c r="E645" s="1" t="str">
        <f t="shared" si="3"/>
        <v>At Constant 2018 Prices</v>
      </c>
      <c r="F645" s="3">
        <v>1.4078827E8</v>
      </c>
    </row>
    <row r="646" ht="15.75" customHeight="1">
      <c r="A646" s="1" t="str">
        <f t="array" ref="A646">INDEX(Reference!$A$2:$A$18, INT((ROW()-2)/(18*3*2)) + 1)</f>
        <v>Central Luzon</v>
      </c>
      <c r="B646" s="2" t="str">
        <f t="array" ref="B646">INDEX(Reference!$C$2:$C$19, MOD(ROW()-2, 18) + 1)</f>
        <v>....Public administration and defense; compulsory social activities</v>
      </c>
      <c r="C646" s="1" t="str">
        <f t="shared" si="1"/>
        <v>Sub</v>
      </c>
      <c r="D646" s="1">
        <f t="shared" si="2"/>
        <v>2024</v>
      </c>
      <c r="E646" s="1" t="str">
        <f t="shared" si="3"/>
        <v>At Constant 2018 Prices</v>
      </c>
      <c r="F646" s="3">
        <v>5.0376105E7</v>
      </c>
    </row>
    <row r="647" ht="15.75" customHeight="1">
      <c r="A647" s="1" t="str">
        <f t="array" ref="A647">INDEX(Reference!$A$2:$A$18, INT((ROW()-2)/(18*3*2)) + 1)</f>
        <v>Central Luzon</v>
      </c>
      <c r="B647" s="2" t="str">
        <f t="array" ref="B647">INDEX(Reference!$C$2:$C$19, MOD(ROW()-2, 18) + 1)</f>
        <v>....Education</v>
      </c>
      <c r="C647" s="1" t="str">
        <f t="shared" si="1"/>
        <v>Sub</v>
      </c>
      <c r="D647" s="1">
        <f t="shared" si="2"/>
        <v>2024</v>
      </c>
      <c r="E647" s="1" t="str">
        <f t="shared" si="3"/>
        <v>At Constant 2018 Prices</v>
      </c>
      <c r="F647" s="3">
        <v>8.6626269E7</v>
      </c>
    </row>
    <row r="648" ht="15.75" customHeight="1">
      <c r="A648" s="1" t="str">
        <f t="array" ref="A648">INDEX(Reference!$A$2:$A$18, INT((ROW()-2)/(18*3*2)) + 1)</f>
        <v>Central Luzon</v>
      </c>
      <c r="B648" s="2" t="str">
        <f t="array" ref="B648">INDEX(Reference!$C$2:$C$19, MOD(ROW()-2, 18) + 1)</f>
        <v>....Human health and social work activities</v>
      </c>
      <c r="C648" s="1" t="str">
        <f t="shared" si="1"/>
        <v>Sub</v>
      </c>
      <c r="D648" s="1">
        <f t="shared" si="2"/>
        <v>2024</v>
      </c>
      <c r="E648" s="1" t="str">
        <f t="shared" si="3"/>
        <v>At Constant 2018 Prices</v>
      </c>
      <c r="F648" s="3">
        <v>3.7249475E7</v>
      </c>
    </row>
    <row r="649" ht="15.75" customHeight="1">
      <c r="A649" s="1" t="str">
        <f t="array" ref="A649">INDEX(Reference!$A$2:$A$18, INT((ROW()-2)/(18*3*2)) + 1)</f>
        <v>Central Luzon</v>
      </c>
      <c r="B649" s="2" t="str">
        <f t="array" ref="B649">INDEX(Reference!$C$2:$C$19, MOD(ROW()-2, 18) + 1)</f>
        <v>....Other services</v>
      </c>
      <c r="C649" s="1" t="str">
        <f t="shared" si="1"/>
        <v>Sub</v>
      </c>
      <c r="D649" s="1">
        <f t="shared" si="2"/>
        <v>2024</v>
      </c>
      <c r="E649" s="1" t="str">
        <f t="shared" si="3"/>
        <v>At Constant 2018 Prices</v>
      </c>
      <c r="F649" s="3">
        <v>7.0680356E7</v>
      </c>
    </row>
    <row r="650" ht="15.75" customHeight="1">
      <c r="A650" s="1" t="str">
        <f t="array" ref="A650">INDEX(Reference!$A$2:$A$18, INT((ROW()-2)/(18*3*2)) + 1)</f>
        <v>Central Visayas</v>
      </c>
      <c r="B650" s="2" t="str">
        <f t="array" ref="B650">INDEX(Reference!$C$2:$C$19, MOD(ROW()-2, 18) + 1)</f>
        <v>..Agriculture, forestry, and fishing</v>
      </c>
      <c r="C650" s="1" t="str">
        <f t="shared" si="1"/>
        <v>Main</v>
      </c>
      <c r="D650" s="1">
        <f t="shared" si="2"/>
        <v>2022</v>
      </c>
      <c r="E650" s="1" t="str">
        <f t="shared" si="3"/>
        <v>At Current Prices</v>
      </c>
      <c r="F650" s="3">
        <v>6.8389358E7</v>
      </c>
    </row>
    <row r="651" ht="15.75" customHeight="1">
      <c r="A651" s="1" t="str">
        <f t="array" ref="A651">INDEX(Reference!$A$2:$A$18, INT((ROW()-2)/(18*3*2)) + 1)</f>
        <v>Central Visayas</v>
      </c>
      <c r="B651" s="2" t="str">
        <f t="array" ref="B651">INDEX(Reference!$C$2:$C$19, MOD(ROW()-2, 18) + 1)</f>
        <v>..Industry</v>
      </c>
      <c r="C651" s="1" t="str">
        <f t="shared" si="1"/>
        <v>Main</v>
      </c>
      <c r="D651" s="1">
        <f t="shared" si="2"/>
        <v>2022</v>
      </c>
      <c r="E651" s="1" t="str">
        <f t="shared" si="3"/>
        <v>At Current Prices</v>
      </c>
      <c r="F651" s="3">
        <v>3.22853188E8</v>
      </c>
    </row>
    <row r="652" ht="15.75" customHeight="1">
      <c r="A652" s="1" t="str">
        <f t="array" ref="A652">INDEX(Reference!$A$2:$A$18, INT((ROW()-2)/(18*3*2)) + 1)</f>
        <v>Central Visayas</v>
      </c>
      <c r="B652" s="2" t="str">
        <f t="array" ref="B652">INDEX(Reference!$C$2:$C$19, MOD(ROW()-2, 18) + 1)</f>
        <v>....Mining and quarrying</v>
      </c>
      <c r="C652" s="1" t="str">
        <f t="shared" si="1"/>
        <v>Sub</v>
      </c>
      <c r="D652" s="1">
        <f t="shared" si="2"/>
        <v>2022</v>
      </c>
      <c r="E652" s="1" t="str">
        <f t="shared" si="3"/>
        <v>At Current Prices</v>
      </c>
      <c r="F652" s="3">
        <v>6851175.0</v>
      </c>
    </row>
    <row r="653" ht="15.75" customHeight="1">
      <c r="A653" s="1" t="str">
        <f t="array" ref="A653">INDEX(Reference!$A$2:$A$18, INT((ROW()-2)/(18*3*2)) + 1)</f>
        <v>Central Visayas</v>
      </c>
      <c r="B653" s="2" t="str">
        <f t="array" ref="B653">INDEX(Reference!$C$2:$C$19, MOD(ROW()-2, 18) + 1)</f>
        <v>....Manufacturing</v>
      </c>
      <c r="C653" s="1" t="str">
        <f t="shared" si="1"/>
        <v>Sub</v>
      </c>
      <c r="D653" s="1">
        <f t="shared" si="2"/>
        <v>2022</v>
      </c>
      <c r="E653" s="1" t="str">
        <f t="shared" si="3"/>
        <v>At Current Prices</v>
      </c>
      <c r="F653" s="3">
        <v>1.96846604E8</v>
      </c>
    </row>
    <row r="654" ht="15.75" customHeight="1">
      <c r="A654" s="1" t="str">
        <f t="array" ref="A654">INDEX(Reference!$A$2:$A$18, INT((ROW()-2)/(18*3*2)) + 1)</f>
        <v>Central Visayas</v>
      </c>
      <c r="B654" s="2" t="str">
        <f t="array" ref="B654">INDEX(Reference!$C$2:$C$19, MOD(ROW()-2, 18) + 1)</f>
        <v>....Electricity, steam, water and waste management</v>
      </c>
      <c r="C654" s="1" t="str">
        <f t="shared" si="1"/>
        <v>Sub</v>
      </c>
      <c r="D654" s="1">
        <f t="shared" si="2"/>
        <v>2022</v>
      </c>
      <c r="E654" s="1" t="str">
        <f t="shared" si="3"/>
        <v>At Current Prices</v>
      </c>
      <c r="F654" s="3">
        <v>3.7912097E7</v>
      </c>
    </row>
    <row r="655" ht="15.75" customHeight="1">
      <c r="A655" s="1" t="str">
        <f t="array" ref="A655">INDEX(Reference!$A$2:$A$18, INT((ROW()-2)/(18*3*2)) + 1)</f>
        <v>Central Visayas</v>
      </c>
      <c r="B655" s="2" t="str">
        <f t="array" ref="B655">INDEX(Reference!$C$2:$C$19, MOD(ROW()-2, 18) + 1)</f>
        <v>....Construction</v>
      </c>
      <c r="C655" s="1" t="str">
        <f t="shared" si="1"/>
        <v>Sub</v>
      </c>
      <c r="D655" s="1">
        <f t="shared" si="2"/>
        <v>2022</v>
      </c>
      <c r="E655" s="1" t="str">
        <f t="shared" si="3"/>
        <v>At Current Prices</v>
      </c>
      <c r="F655" s="3">
        <v>8.1243312E7</v>
      </c>
    </row>
    <row r="656" ht="15.75" customHeight="1">
      <c r="A656" s="1" t="str">
        <f t="array" ref="A656">INDEX(Reference!$A$2:$A$18, INT((ROW()-2)/(18*3*2)) + 1)</f>
        <v>Central Visayas</v>
      </c>
      <c r="B656" s="2" t="str">
        <f t="array" ref="B656">INDEX(Reference!$C$2:$C$19, MOD(ROW()-2, 18) + 1)</f>
        <v>..Services</v>
      </c>
      <c r="C656" s="1" t="str">
        <f t="shared" si="1"/>
        <v>Main</v>
      </c>
      <c r="D656" s="1">
        <f t="shared" si="2"/>
        <v>2022</v>
      </c>
      <c r="E656" s="1" t="str">
        <f t="shared" si="3"/>
        <v>At Current Prices</v>
      </c>
      <c r="F656" s="3">
        <v>8.14788512E8</v>
      </c>
    </row>
    <row r="657" ht="15.75" customHeight="1">
      <c r="A657" s="1" t="str">
        <f t="array" ref="A657">INDEX(Reference!$A$2:$A$18, INT((ROW()-2)/(18*3*2)) + 1)</f>
        <v>Central Visayas</v>
      </c>
      <c r="B657" s="2" t="str">
        <f t="array" ref="B657">INDEX(Reference!$C$2:$C$19, MOD(ROW()-2, 18) + 1)</f>
        <v>....Wholesale and retail trade; repair of motor vehicles and motorcycles</v>
      </c>
      <c r="C657" s="1" t="str">
        <f t="shared" si="1"/>
        <v>Sub</v>
      </c>
      <c r="D657" s="1">
        <f t="shared" si="2"/>
        <v>2022</v>
      </c>
      <c r="E657" s="1" t="str">
        <f t="shared" si="3"/>
        <v>At Current Prices</v>
      </c>
      <c r="F657" s="3">
        <v>2.42786204E8</v>
      </c>
    </row>
    <row r="658" ht="15.75" customHeight="1">
      <c r="A658" s="1" t="str">
        <f t="array" ref="A658">INDEX(Reference!$A$2:$A$18, INT((ROW()-2)/(18*3*2)) + 1)</f>
        <v>Central Visayas</v>
      </c>
      <c r="B658" s="2" t="str">
        <f t="array" ref="B658">INDEX(Reference!$C$2:$C$19, MOD(ROW()-2, 18) + 1)</f>
        <v>....Transportation and storage</v>
      </c>
      <c r="C658" s="1" t="str">
        <f t="shared" si="1"/>
        <v>Sub</v>
      </c>
      <c r="D658" s="1">
        <f t="shared" si="2"/>
        <v>2022</v>
      </c>
      <c r="E658" s="1" t="str">
        <f t="shared" si="3"/>
        <v>At Current Prices</v>
      </c>
      <c r="F658" s="3">
        <v>5.5008278E7</v>
      </c>
    </row>
    <row r="659" ht="15.75" customHeight="1">
      <c r="A659" s="1" t="str">
        <f t="array" ref="A659">INDEX(Reference!$A$2:$A$18, INT((ROW()-2)/(18*3*2)) + 1)</f>
        <v>Central Visayas</v>
      </c>
      <c r="B659" s="2" t="str">
        <f t="array" ref="B659">INDEX(Reference!$C$2:$C$19, MOD(ROW()-2, 18) + 1)</f>
        <v>....Accommodation and food service activities</v>
      </c>
      <c r="C659" s="1" t="str">
        <f t="shared" si="1"/>
        <v>Sub</v>
      </c>
      <c r="D659" s="1">
        <f t="shared" si="2"/>
        <v>2022</v>
      </c>
      <c r="E659" s="1" t="str">
        <f t="shared" si="3"/>
        <v>At Current Prices</v>
      </c>
      <c r="F659" s="3">
        <v>3.3054277E7</v>
      </c>
    </row>
    <row r="660" ht="15.75" customHeight="1">
      <c r="A660" s="1" t="str">
        <f t="array" ref="A660">INDEX(Reference!$A$2:$A$18, INT((ROW()-2)/(18*3*2)) + 1)</f>
        <v>Central Visayas</v>
      </c>
      <c r="B660" s="2" t="str">
        <f t="array" ref="B660">INDEX(Reference!$C$2:$C$19, MOD(ROW()-2, 18) + 1)</f>
        <v>....Information and communication</v>
      </c>
      <c r="C660" s="1" t="str">
        <f t="shared" si="1"/>
        <v>Sub</v>
      </c>
      <c r="D660" s="1">
        <f t="shared" si="2"/>
        <v>2022</v>
      </c>
      <c r="E660" s="1" t="str">
        <f t="shared" si="3"/>
        <v>At Current Prices</v>
      </c>
      <c r="F660" s="3">
        <v>4.7785853E7</v>
      </c>
    </row>
    <row r="661" ht="15.75" customHeight="1">
      <c r="A661" s="1" t="str">
        <f t="array" ref="A661">INDEX(Reference!$A$2:$A$18, INT((ROW()-2)/(18*3*2)) + 1)</f>
        <v>Central Visayas</v>
      </c>
      <c r="B661" s="2" t="str">
        <f t="array" ref="B661">INDEX(Reference!$C$2:$C$19, MOD(ROW()-2, 18) + 1)</f>
        <v>....Financial and insurance activities</v>
      </c>
      <c r="C661" s="1" t="str">
        <f t="shared" si="1"/>
        <v>Sub</v>
      </c>
      <c r="D661" s="1">
        <f t="shared" si="2"/>
        <v>2022</v>
      </c>
      <c r="E661" s="1" t="str">
        <f t="shared" si="3"/>
        <v>At Current Prices</v>
      </c>
      <c r="F661" s="3">
        <v>1.22514642E8</v>
      </c>
    </row>
    <row r="662" ht="15.75" customHeight="1">
      <c r="A662" s="1" t="str">
        <f t="array" ref="A662">INDEX(Reference!$A$2:$A$18, INT((ROW()-2)/(18*3*2)) + 1)</f>
        <v>Central Visayas</v>
      </c>
      <c r="B662" s="2" t="str">
        <f t="array" ref="B662">INDEX(Reference!$C$2:$C$19, MOD(ROW()-2, 18) + 1)</f>
        <v>....Real estate and ownership of dwellings</v>
      </c>
      <c r="C662" s="1" t="str">
        <f t="shared" si="1"/>
        <v>Sub</v>
      </c>
      <c r="D662" s="1">
        <f t="shared" si="2"/>
        <v>2022</v>
      </c>
      <c r="E662" s="1" t="str">
        <f t="shared" si="3"/>
        <v>At Current Prices</v>
      </c>
      <c r="F662" s="3">
        <v>1.03472306E8</v>
      </c>
    </row>
    <row r="663" ht="15.75" customHeight="1">
      <c r="A663" s="1" t="str">
        <f t="array" ref="A663">INDEX(Reference!$A$2:$A$18, INT((ROW()-2)/(18*3*2)) + 1)</f>
        <v>Central Visayas</v>
      </c>
      <c r="B663" s="2" t="str">
        <f t="array" ref="B663">INDEX(Reference!$C$2:$C$19, MOD(ROW()-2, 18) + 1)</f>
        <v>....Professional and business services</v>
      </c>
      <c r="C663" s="1" t="str">
        <f t="shared" si="1"/>
        <v>Sub</v>
      </c>
      <c r="D663" s="1">
        <f t="shared" si="2"/>
        <v>2022</v>
      </c>
      <c r="E663" s="1" t="str">
        <f t="shared" si="3"/>
        <v>At Current Prices</v>
      </c>
      <c r="F663" s="3">
        <v>8.431839E7</v>
      </c>
    </row>
    <row r="664" ht="15.75" customHeight="1">
      <c r="A664" s="1" t="str">
        <f t="array" ref="A664">INDEX(Reference!$A$2:$A$18, INT((ROW()-2)/(18*3*2)) + 1)</f>
        <v>Central Visayas</v>
      </c>
      <c r="B664" s="2" t="str">
        <f t="array" ref="B664">INDEX(Reference!$C$2:$C$19, MOD(ROW()-2, 18) + 1)</f>
        <v>....Public administration and defense; compulsory social activities</v>
      </c>
      <c r="C664" s="1" t="str">
        <f t="shared" si="1"/>
        <v>Sub</v>
      </c>
      <c r="D664" s="1">
        <f t="shared" si="2"/>
        <v>2022</v>
      </c>
      <c r="E664" s="1" t="str">
        <f t="shared" si="3"/>
        <v>At Current Prices</v>
      </c>
      <c r="F664" s="3">
        <v>3.1099268E7</v>
      </c>
    </row>
    <row r="665" ht="15.75" customHeight="1">
      <c r="A665" s="1" t="str">
        <f t="array" ref="A665">INDEX(Reference!$A$2:$A$18, INT((ROW()-2)/(18*3*2)) + 1)</f>
        <v>Central Visayas</v>
      </c>
      <c r="B665" s="2" t="str">
        <f t="array" ref="B665">INDEX(Reference!$C$2:$C$19, MOD(ROW()-2, 18) + 1)</f>
        <v>....Education</v>
      </c>
      <c r="C665" s="1" t="str">
        <f t="shared" si="1"/>
        <v>Sub</v>
      </c>
      <c r="D665" s="1">
        <f t="shared" si="2"/>
        <v>2022</v>
      </c>
      <c r="E665" s="1" t="str">
        <f t="shared" si="3"/>
        <v>At Current Prices</v>
      </c>
      <c r="F665" s="3">
        <v>6.2391998E7</v>
      </c>
    </row>
    <row r="666" ht="15.75" customHeight="1">
      <c r="A666" s="1" t="str">
        <f t="array" ref="A666">INDEX(Reference!$A$2:$A$18, INT((ROW()-2)/(18*3*2)) + 1)</f>
        <v>Central Visayas</v>
      </c>
      <c r="B666" s="2" t="str">
        <f t="array" ref="B666">INDEX(Reference!$C$2:$C$19, MOD(ROW()-2, 18) + 1)</f>
        <v>....Human health and social work activities</v>
      </c>
      <c r="C666" s="1" t="str">
        <f t="shared" si="1"/>
        <v>Sub</v>
      </c>
      <c r="D666" s="1">
        <f t="shared" si="2"/>
        <v>2022</v>
      </c>
      <c r="E666" s="1" t="str">
        <f t="shared" si="3"/>
        <v>At Current Prices</v>
      </c>
      <c r="F666" s="3">
        <v>1.9848325E7</v>
      </c>
    </row>
    <row r="667" ht="15.75" customHeight="1">
      <c r="A667" s="1" t="str">
        <f t="array" ref="A667">INDEX(Reference!$A$2:$A$18, INT((ROW()-2)/(18*3*2)) + 1)</f>
        <v>Central Visayas</v>
      </c>
      <c r="B667" s="2" t="str">
        <f t="array" ref="B667">INDEX(Reference!$C$2:$C$19, MOD(ROW()-2, 18) + 1)</f>
        <v>....Other services</v>
      </c>
      <c r="C667" s="1" t="str">
        <f t="shared" si="1"/>
        <v>Sub</v>
      </c>
      <c r="D667" s="1">
        <f t="shared" si="2"/>
        <v>2022</v>
      </c>
      <c r="E667" s="1" t="str">
        <f t="shared" si="3"/>
        <v>At Current Prices</v>
      </c>
      <c r="F667" s="3">
        <v>1.2508971E7</v>
      </c>
    </row>
    <row r="668" ht="15.75" customHeight="1">
      <c r="A668" s="1" t="str">
        <f t="array" ref="A668">INDEX(Reference!$A$2:$A$18, INT((ROW()-2)/(18*3*2)) + 1)</f>
        <v>Central Visayas</v>
      </c>
      <c r="B668" s="2" t="str">
        <f t="array" ref="B668">INDEX(Reference!$C$2:$C$19, MOD(ROW()-2, 18) + 1)</f>
        <v>..Agriculture, forestry, and fishing</v>
      </c>
      <c r="C668" s="1" t="str">
        <f t="shared" si="1"/>
        <v>Main</v>
      </c>
      <c r="D668" s="1">
        <f t="shared" si="2"/>
        <v>2023</v>
      </c>
      <c r="E668" s="1" t="str">
        <f t="shared" si="3"/>
        <v>At Current Prices</v>
      </c>
      <c r="F668" s="3">
        <v>7.9750588E7</v>
      </c>
    </row>
    <row r="669" ht="15.75" customHeight="1">
      <c r="A669" s="1" t="str">
        <f t="array" ref="A669">INDEX(Reference!$A$2:$A$18, INT((ROW()-2)/(18*3*2)) + 1)</f>
        <v>Central Visayas</v>
      </c>
      <c r="B669" s="2" t="str">
        <f t="array" ref="B669">INDEX(Reference!$C$2:$C$19, MOD(ROW()-2, 18) + 1)</f>
        <v>..Industry</v>
      </c>
      <c r="C669" s="1" t="str">
        <f t="shared" si="1"/>
        <v>Main</v>
      </c>
      <c r="D669" s="1">
        <f t="shared" si="2"/>
        <v>2023</v>
      </c>
      <c r="E669" s="1" t="str">
        <f t="shared" si="3"/>
        <v>At Current Prices</v>
      </c>
      <c r="F669" s="3">
        <v>3.47330524E8</v>
      </c>
    </row>
    <row r="670" ht="15.75" customHeight="1">
      <c r="A670" s="1" t="str">
        <f t="array" ref="A670">INDEX(Reference!$A$2:$A$18, INT((ROW()-2)/(18*3*2)) + 1)</f>
        <v>Central Visayas</v>
      </c>
      <c r="B670" s="2" t="str">
        <f t="array" ref="B670">INDEX(Reference!$C$2:$C$19, MOD(ROW()-2, 18) + 1)</f>
        <v>....Mining and quarrying</v>
      </c>
      <c r="C670" s="1" t="str">
        <f t="shared" si="1"/>
        <v>Sub</v>
      </c>
      <c r="D670" s="1">
        <f t="shared" si="2"/>
        <v>2023</v>
      </c>
      <c r="E670" s="1" t="str">
        <f t="shared" si="3"/>
        <v>At Current Prices</v>
      </c>
      <c r="F670" s="3">
        <v>6936860.0</v>
      </c>
    </row>
    <row r="671" ht="15.75" customHeight="1">
      <c r="A671" s="1" t="str">
        <f t="array" ref="A671">INDEX(Reference!$A$2:$A$18, INT((ROW()-2)/(18*3*2)) + 1)</f>
        <v>Central Visayas</v>
      </c>
      <c r="B671" s="2" t="str">
        <f t="array" ref="B671">INDEX(Reference!$C$2:$C$19, MOD(ROW()-2, 18) + 1)</f>
        <v>....Manufacturing</v>
      </c>
      <c r="C671" s="1" t="str">
        <f t="shared" si="1"/>
        <v>Sub</v>
      </c>
      <c r="D671" s="1">
        <f t="shared" si="2"/>
        <v>2023</v>
      </c>
      <c r="E671" s="1" t="str">
        <f t="shared" si="3"/>
        <v>At Current Prices</v>
      </c>
      <c r="F671" s="3">
        <v>2.0364223E8</v>
      </c>
    </row>
    <row r="672" ht="15.75" customHeight="1">
      <c r="A672" s="1" t="str">
        <f t="array" ref="A672">INDEX(Reference!$A$2:$A$18, INT((ROW()-2)/(18*3*2)) + 1)</f>
        <v>Central Visayas</v>
      </c>
      <c r="B672" s="2" t="str">
        <f t="array" ref="B672">INDEX(Reference!$C$2:$C$19, MOD(ROW()-2, 18) + 1)</f>
        <v>....Electricity, steam, water and waste management</v>
      </c>
      <c r="C672" s="1" t="str">
        <f t="shared" si="1"/>
        <v>Sub</v>
      </c>
      <c r="D672" s="1">
        <f t="shared" si="2"/>
        <v>2023</v>
      </c>
      <c r="E672" s="1" t="str">
        <f t="shared" si="3"/>
        <v>At Current Prices</v>
      </c>
      <c r="F672" s="3">
        <v>4.09844E7</v>
      </c>
    </row>
    <row r="673" ht="15.75" customHeight="1">
      <c r="A673" s="1" t="str">
        <f t="array" ref="A673">INDEX(Reference!$A$2:$A$18, INT((ROW()-2)/(18*3*2)) + 1)</f>
        <v>Central Visayas</v>
      </c>
      <c r="B673" s="2" t="str">
        <f t="array" ref="B673">INDEX(Reference!$C$2:$C$19, MOD(ROW()-2, 18) + 1)</f>
        <v>....Construction</v>
      </c>
      <c r="C673" s="1" t="str">
        <f t="shared" si="1"/>
        <v>Sub</v>
      </c>
      <c r="D673" s="1">
        <f t="shared" si="2"/>
        <v>2023</v>
      </c>
      <c r="E673" s="1" t="str">
        <f t="shared" si="3"/>
        <v>At Current Prices</v>
      </c>
      <c r="F673" s="3">
        <v>9.5767034E7</v>
      </c>
    </row>
    <row r="674" ht="15.75" customHeight="1">
      <c r="A674" s="1" t="str">
        <f t="array" ref="A674">INDEX(Reference!$A$2:$A$18, INT((ROW()-2)/(18*3*2)) + 1)</f>
        <v>Central Visayas</v>
      </c>
      <c r="B674" s="2" t="str">
        <f t="array" ref="B674">INDEX(Reference!$C$2:$C$19, MOD(ROW()-2, 18) + 1)</f>
        <v>..Services</v>
      </c>
      <c r="C674" s="1" t="str">
        <f t="shared" si="1"/>
        <v>Main</v>
      </c>
      <c r="D674" s="1">
        <f t="shared" si="2"/>
        <v>2023</v>
      </c>
      <c r="E674" s="1" t="str">
        <f t="shared" si="3"/>
        <v>At Current Prices</v>
      </c>
      <c r="F674" s="3">
        <v>9.26460286E8</v>
      </c>
    </row>
    <row r="675" ht="15.75" customHeight="1">
      <c r="A675" s="1" t="str">
        <f t="array" ref="A675">INDEX(Reference!$A$2:$A$18, INT((ROW()-2)/(18*3*2)) + 1)</f>
        <v>Central Visayas</v>
      </c>
      <c r="B675" s="2" t="str">
        <f t="array" ref="B675">INDEX(Reference!$C$2:$C$19, MOD(ROW()-2, 18) + 1)</f>
        <v>....Wholesale and retail trade; repair of motor vehicles and motorcycles</v>
      </c>
      <c r="C675" s="1" t="str">
        <f t="shared" si="1"/>
        <v>Sub</v>
      </c>
      <c r="D675" s="1">
        <f t="shared" si="2"/>
        <v>2023</v>
      </c>
      <c r="E675" s="1" t="str">
        <f t="shared" si="3"/>
        <v>At Current Prices</v>
      </c>
      <c r="F675" s="3">
        <v>2.69252899E8</v>
      </c>
    </row>
    <row r="676" ht="15.75" customHeight="1">
      <c r="A676" s="1" t="str">
        <f t="array" ref="A676">INDEX(Reference!$A$2:$A$18, INT((ROW()-2)/(18*3*2)) + 1)</f>
        <v>Central Visayas</v>
      </c>
      <c r="B676" s="2" t="str">
        <f t="array" ref="B676">INDEX(Reference!$C$2:$C$19, MOD(ROW()-2, 18) + 1)</f>
        <v>....Transportation and storage</v>
      </c>
      <c r="C676" s="1" t="str">
        <f t="shared" si="1"/>
        <v>Sub</v>
      </c>
      <c r="D676" s="1">
        <f t="shared" si="2"/>
        <v>2023</v>
      </c>
      <c r="E676" s="1" t="str">
        <f t="shared" si="3"/>
        <v>At Current Prices</v>
      </c>
      <c r="F676" s="3">
        <v>7.4100287E7</v>
      </c>
    </row>
    <row r="677" ht="15.75" customHeight="1">
      <c r="A677" s="1" t="str">
        <f t="array" ref="A677">INDEX(Reference!$A$2:$A$18, INT((ROW()-2)/(18*3*2)) + 1)</f>
        <v>Central Visayas</v>
      </c>
      <c r="B677" s="2" t="str">
        <f t="array" ref="B677">INDEX(Reference!$C$2:$C$19, MOD(ROW()-2, 18) + 1)</f>
        <v>....Accommodation and food service activities</v>
      </c>
      <c r="C677" s="1" t="str">
        <f t="shared" si="1"/>
        <v>Sub</v>
      </c>
      <c r="D677" s="1">
        <f t="shared" si="2"/>
        <v>2023</v>
      </c>
      <c r="E677" s="1" t="str">
        <f t="shared" si="3"/>
        <v>At Current Prices</v>
      </c>
      <c r="F677" s="3">
        <v>4.5973361E7</v>
      </c>
    </row>
    <row r="678" ht="15.75" customHeight="1">
      <c r="A678" s="1" t="str">
        <f t="array" ref="A678">INDEX(Reference!$A$2:$A$18, INT((ROW()-2)/(18*3*2)) + 1)</f>
        <v>Central Visayas</v>
      </c>
      <c r="B678" s="2" t="str">
        <f t="array" ref="B678">INDEX(Reference!$C$2:$C$19, MOD(ROW()-2, 18) + 1)</f>
        <v>....Information and communication</v>
      </c>
      <c r="C678" s="1" t="str">
        <f t="shared" si="1"/>
        <v>Sub</v>
      </c>
      <c r="D678" s="1">
        <f t="shared" si="2"/>
        <v>2023</v>
      </c>
      <c r="E678" s="1" t="str">
        <f t="shared" si="3"/>
        <v>At Current Prices</v>
      </c>
      <c r="F678" s="3">
        <v>4.9462911E7</v>
      </c>
    </row>
    <row r="679" ht="15.75" customHeight="1">
      <c r="A679" s="1" t="str">
        <f t="array" ref="A679">INDEX(Reference!$A$2:$A$18, INT((ROW()-2)/(18*3*2)) + 1)</f>
        <v>Central Visayas</v>
      </c>
      <c r="B679" s="2" t="str">
        <f t="array" ref="B679">INDEX(Reference!$C$2:$C$19, MOD(ROW()-2, 18) + 1)</f>
        <v>....Financial and insurance activities</v>
      </c>
      <c r="C679" s="1" t="str">
        <f t="shared" si="1"/>
        <v>Sub</v>
      </c>
      <c r="D679" s="1">
        <f t="shared" si="2"/>
        <v>2023</v>
      </c>
      <c r="E679" s="1" t="str">
        <f t="shared" si="3"/>
        <v>At Current Prices</v>
      </c>
      <c r="F679" s="3">
        <v>1.37996721E8</v>
      </c>
    </row>
    <row r="680" ht="15.75" customHeight="1">
      <c r="A680" s="1" t="str">
        <f t="array" ref="A680">INDEX(Reference!$A$2:$A$18, INT((ROW()-2)/(18*3*2)) + 1)</f>
        <v>Central Visayas</v>
      </c>
      <c r="B680" s="2" t="str">
        <f t="array" ref="B680">INDEX(Reference!$C$2:$C$19, MOD(ROW()-2, 18) + 1)</f>
        <v>....Real estate and ownership of dwellings</v>
      </c>
      <c r="C680" s="1" t="str">
        <f t="shared" si="1"/>
        <v>Sub</v>
      </c>
      <c r="D680" s="1">
        <f t="shared" si="2"/>
        <v>2023</v>
      </c>
      <c r="E680" s="1" t="str">
        <f t="shared" si="3"/>
        <v>At Current Prices</v>
      </c>
      <c r="F680" s="3">
        <v>1.12732981E8</v>
      </c>
    </row>
    <row r="681" ht="15.75" customHeight="1">
      <c r="A681" s="1" t="str">
        <f t="array" ref="A681">INDEX(Reference!$A$2:$A$18, INT((ROW()-2)/(18*3*2)) + 1)</f>
        <v>Central Visayas</v>
      </c>
      <c r="B681" s="2" t="str">
        <f t="array" ref="B681">INDEX(Reference!$C$2:$C$19, MOD(ROW()-2, 18) + 1)</f>
        <v>....Professional and business services</v>
      </c>
      <c r="C681" s="1" t="str">
        <f t="shared" si="1"/>
        <v>Sub</v>
      </c>
      <c r="D681" s="1">
        <f t="shared" si="2"/>
        <v>2023</v>
      </c>
      <c r="E681" s="1" t="str">
        <f t="shared" si="3"/>
        <v>At Current Prices</v>
      </c>
      <c r="F681" s="3">
        <v>9.5682187E7</v>
      </c>
    </row>
    <row r="682" ht="15.75" customHeight="1">
      <c r="A682" s="1" t="str">
        <f t="array" ref="A682">INDEX(Reference!$A$2:$A$18, INT((ROW()-2)/(18*3*2)) + 1)</f>
        <v>Central Visayas</v>
      </c>
      <c r="B682" s="2" t="str">
        <f t="array" ref="B682">INDEX(Reference!$C$2:$C$19, MOD(ROW()-2, 18) + 1)</f>
        <v>....Public administration and defense; compulsory social activities</v>
      </c>
      <c r="C682" s="1" t="str">
        <f t="shared" si="1"/>
        <v>Sub</v>
      </c>
      <c r="D682" s="1">
        <f t="shared" si="2"/>
        <v>2023</v>
      </c>
      <c r="E682" s="1" t="str">
        <f t="shared" si="3"/>
        <v>At Current Prices</v>
      </c>
      <c r="F682" s="3">
        <v>3.384773E7</v>
      </c>
    </row>
    <row r="683" ht="15.75" customHeight="1">
      <c r="A683" s="1" t="str">
        <f t="array" ref="A683">INDEX(Reference!$A$2:$A$18, INT((ROW()-2)/(18*3*2)) + 1)</f>
        <v>Central Visayas</v>
      </c>
      <c r="B683" s="2" t="str">
        <f t="array" ref="B683">INDEX(Reference!$C$2:$C$19, MOD(ROW()-2, 18) + 1)</f>
        <v>....Education</v>
      </c>
      <c r="C683" s="1" t="str">
        <f t="shared" si="1"/>
        <v>Sub</v>
      </c>
      <c r="D683" s="1">
        <f t="shared" si="2"/>
        <v>2023</v>
      </c>
      <c r="E683" s="1" t="str">
        <f t="shared" si="3"/>
        <v>At Current Prices</v>
      </c>
      <c r="F683" s="3">
        <v>6.9402639E7</v>
      </c>
    </row>
    <row r="684" ht="15.75" customHeight="1">
      <c r="A684" s="1" t="str">
        <f t="array" ref="A684">INDEX(Reference!$A$2:$A$18, INT((ROW()-2)/(18*3*2)) + 1)</f>
        <v>Central Visayas</v>
      </c>
      <c r="B684" s="2" t="str">
        <f t="array" ref="B684">INDEX(Reference!$C$2:$C$19, MOD(ROW()-2, 18) + 1)</f>
        <v>....Human health and social work activities</v>
      </c>
      <c r="C684" s="1" t="str">
        <f t="shared" si="1"/>
        <v>Sub</v>
      </c>
      <c r="D684" s="1">
        <f t="shared" si="2"/>
        <v>2023</v>
      </c>
      <c r="E684" s="1" t="str">
        <f t="shared" si="3"/>
        <v>At Current Prices</v>
      </c>
      <c r="F684" s="3">
        <v>2.2104492E7</v>
      </c>
    </row>
    <row r="685" ht="15.75" customHeight="1">
      <c r="A685" s="1" t="str">
        <f t="array" ref="A685">INDEX(Reference!$A$2:$A$18, INT((ROW()-2)/(18*3*2)) + 1)</f>
        <v>Central Visayas</v>
      </c>
      <c r="B685" s="2" t="str">
        <f t="array" ref="B685">INDEX(Reference!$C$2:$C$19, MOD(ROW()-2, 18) + 1)</f>
        <v>....Other services</v>
      </c>
      <c r="C685" s="1" t="str">
        <f t="shared" si="1"/>
        <v>Sub</v>
      </c>
      <c r="D685" s="1">
        <f t="shared" si="2"/>
        <v>2023</v>
      </c>
      <c r="E685" s="1" t="str">
        <f t="shared" si="3"/>
        <v>At Current Prices</v>
      </c>
      <c r="F685" s="3">
        <v>1.5904076E7</v>
      </c>
    </row>
    <row r="686" ht="15.75" customHeight="1">
      <c r="A686" s="1" t="str">
        <f t="array" ref="A686">INDEX(Reference!$A$2:$A$18, INT((ROW()-2)/(18*3*2)) + 1)</f>
        <v>Central Visayas</v>
      </c>
      <c r="B686" s="2" t="str">
        <f t="array" ref="B686">INDEX(Reference!$C$2:$C$19, MOD(ROW()-2, 18) + 1)</f>
        <v>..Agriculture, forestry, and fishing</v>
      </c>
      <c r="C686" s="1" t="str">
        <f t="shared" si="1"/>
        <v>Main</v>
      </c>
      <c r="D686" s="1">
        <f t="shared" si="2"/>
        <v>2024</v>
      </c>
      <c r="E686" s="1" t="str">
        <f t="shared" si="3"/>
        <v>At Current Prices</v>
      </c>
      <c r="F686" s="3">
        <v>8.8099664E7</v>
      </c>
    </row>
    <row r="687" ht="15.75" customHeight="1">
      <c r="A687" s="1" t="str">
        <f t="array" ref="A687">INDEX(Reference!$A$2:$A$18, INT((ROW()-2)/(18*3*2)) + 1)</f>
        <v>Central Visayas</v>
      </c>
      <c r="B687" s="2" t="str">
        <f t="array" ref="B687">INDEX(Reference!$C$2:$C$19, MOD(ROW()-2, 18) + 1)</f>
        <v>..Industry</v>
      </c>
      <c r="C687" s="1" t="str">
        <f t="shared" si="1"/>
        <v>Main</v>
      </c>
      <c r="D687" s="1">
        <f t="shared" si="2"/>
        <v>2024</v>
      </c>
      <c r="E687" s="1" t="str">
        <f t="shared" si="3"/>
        <v>At Current Prices</v>
      </c>
      <c r="F687" s="3">
        <v>3.72314975E8</v>
      </c>
    </row>
    <row r="688" ht="15.75" customHeight="1">
      <c r="A688" s="1" t="str">
        <f t="array" ref="A688">INDEX(Reference!$A$2:$A$18, INT((ROW()-2)/(18*3*2)) + 1)</f>
        <v>Central Visayas</v>
      </c>
      <c r="B688" s="2" t="str">
        <f t="array" ref="B688">INDEX(Reference!$C$2:$C$19, MOD(ROW()-2, 18) + 1)</f>
        <v>....Mining and quarrying</v>
      </c>
      <c r="C688" s="1" t="str">
        <f t="shared" si="1"/>
        <v>Sub</v>
      </c>
      <c r="D688" s="1">
        <f t="shared" si="2"/>
        <v>2024</v>
      </c>
      <c r="E688" s="1" t="str">
        <f t="shared" si="3"/>
        <v>At Current Prices</v>
      </c>
      <c r="F688" s="3">
        <v>7676609.0</v>
      </c>
    </row>
    <row r="689" ht="15.75" customHeight="1">
      <c r="A689" s="1" t="str">
        <f t="array" ref="A689">INDEX(Reference!$A$2:$A$18, INT((ROW()-2)/(18*3*2)) + 1)</f>
        <v>Central Visayas</v>
      </c>
      <c r="B689" s="2" t="str">
        <f t="array" ref="B689">INDEX(Reference!$C$2:$C$19, MOD(ROW()-2, 18) + 1)</f>
        <v>....Manufacturing</v>
      </c>
      <c r="C689" s="1" t="str">
        <f t="shared" si="1"/>
        <v>Sub</v>
      </c>
      <c r="D689" s="1">
        <f t="shared" si="2"/>
        <v>2024</v>
      </c>
      <c r="E689" s="1" t="str">
        <f t="shared" si="3"/>
        <v>At Current Prices</v>
      </c>
      <c r="F689" s="3">
        <v>2.18317339E8</v>
      </c>
    </row>
    <row r="690" ht="15.75" customHeight="1">
      <c r="A690" s="1" t="str">
        <f t="array" ref="A690">INDEX(Reference!$A$2:$A$18, INT((ROW()-2)/(18*3*2)) + 1)</f>
        <v>Central Visayas</v>
      </c>
      <c r="B690" s="2" t="str">
        <f t="array" ref="B690">INDEX(Reference!$C$2:$C$19, MOD(ROW()-2, 18) + 1)</f>
        <v>....Electricity, steam, water and waste management</v>
      </c>
      <c r="C690" s="1" t="str">
        <f t="shared" si="1"/>
        <v>Sub</v>
      </c>
      <c r="D690" s="1">
        <f t="shared" si="2"/>
        <v>2024</v>
      </c>
      <c r="E690" s="1" t="str">
        <f t="shared" si="3"/>
        <v>At Current Prices</v>
      </c>
      <c r="F690" s="3">
        <v>4.1655132E7</v>
      </c>
    </row>
    <row r="691" ht="15.75" customHeight="1">
      <c r="A691" s="1" t="str">
        <f t="array" ref="A691">INDEX(Reference!$A$2:$A$18, INT((ROW()-2)/(18*3*2)) + 1)</f>
        <v>Central Visayas</v>
      </c>
      <c r="B691" s="2" t="str">
        <f t="array" ref="B691">INDEX(Reference!$C$2:$C$19, MOD(ROW()-2, 18) + 1)</f>
        <v>....Construction</v>
      </c>
      <c r="C691" s="1" t="str">
        <f t="shared" si="1"/>
        <v>Sub</v>
      </c>
      <c r="D691" s="1">
        <f t="shared" si="2"/>
        <v>2024</v>
      </c>
      <c r="E691" s="1" t="str">
        <f t="shared" si="3"/>
        <v>At Current Prices</v>
      </c>
      <c r="F691" s="3">
        <v>1.04665895E8</v>
      </c>
    </row>
    <row r="692" ht="15.75" customHeight="1">
      <c r="A692" s="1" t="str">
        <f t="array" ref="A692">INDEX(Reference!$A$2:$A$18, INT((ROW()-2)/(18*3*2)) + 1)</f>
        <v>Central Visayas</v>
      </c>
      <c r="B692" s="2" t="str">
        <f t="array" ref="B692">INDEX(Reference!$C$2:$C$19, MOD(ROW()-2, 18) + 1)</f>
        <v>..Services</v>
      </c>
      <c r="C692" s="1" t="str">
        <f t="shared" si="1"/>
        <v>Main</v>
      </c>
      <c r="D692" s="1">
        <f t="shared" si="2"/>
        <v>2024</v>
      </c>
      <c r="E692" s="1" t="str">
        <f t="shared" si="3"/>
        <v>At Current Prices</v>
      </c>
      <c r="F692" s="3">
        <v>1.03095186E9</v>
      </c>
    </row>
    <row r="693" ht="15.75" customHeight="1">
      <c r="A693" s="1" t="str">
        <f t="array" ref="A693">INDEX(Reference!$A$2:$A$18, INT((ROW()-2)/(18*3*2)) + 1)</f>
        <v>Central Visayas</v>
      </c>
      <c r="B693" s="2" t="str">
        <f t="array" ref="B693">INDEX(Reference!$C$2:$C$19, MOD(ROW()-2, 18) + 1)</f>
        <v>....Wholesale and retail trade; repair of motor vehicles and motorcycles</v>
      </c>
      <c r="C693" s="1" t="str">
        <f t="shared" si="1"/>
        <v>Sub</v>
      </c>
      <c r="D693" s="1">
        <f t="shared" si="2"/>
        <v>2024</v>
      </c>
      <c r="E693" s="1" t="str">
        <f t="shared" si="3"/>
        <v>At Current Prices</v>
      </c>
      <c r="F693" s="3">
        <v>3.02692635E8</v>
      </c>
    </row>
    <row r="694" ht="15.75" customHeight="1">
      <c r="A694" s="1" t="str">
        <f t="array" ref="A694">INDEX(Reference!$A$2:$A$18, INT((ROW()-2)/(18*3*2)) + 1)</f>
        <v>Central Visayas</v>
      </c>
      <c r="B694" s="2" t="str">
        <f t="array" ref="B694">INDEX(Reference!$C$2:$C$19, MOD(ROW()-2, 18) + 1)</f>
        <v>....Transportation and storage</v>
      </c>
      <c r="C694" s="1" t="str">
        <f t="shared" si="1"/>
        <v>Sub</v>
      </c>
      <c r="D694" s="1">
        <f t="shared" si="2"/>
        <v>2024</v>
      </c>
      <c r="E694" s="1" t="str">
        <f t="shared" si="3"/>
        <v>At Current Prices</v>
      </c>
      <c r="F694" s="3">
        <v>8.2517736E7</v>
      </c>
    </row>
    <row r="695" ht="15.75" customHeight="1">
      <c r="A695" s="1" t="str">
        <f t="array" ref="A695">INDEX(Reference!$A$2:$A$18, INT((ROW()-2)/(18*3*2)) + 1)</f>
        <v>Central Visayas</v>
      </c>
      <c r="B695" s="2" t="str">
        <f t="array" ref="B695">INDEX(Reference!$C$2:$C$19, MOD(ROW()-2, 18) + 1)</f>
        <v>....Accommodation and food service activities</v>
      </c>
      <c r="C695" s="1" t="str">
        <f t="shared" si="1"/>
        <v>Sub</v>
      </c>
      <c r="D695" s="1">
        <f t="shared" si="2"/>
        <v>2024</v>
      </c>
      <c r="E695" s="1" t="str">
        <f t="shared" si="3"/>
        <v>At Current Prices</v>
      </c>
      <c r="F695" s="3">
        <v>5.4784123E7</v>
      </c>
    </row>
    <row r="696" ht="15.75" customHeight="1">
      <c r="A696" s="1" t="str">
        <f t="array" ref="A696">INDEX(Reference!$A$2:$A$18, INT((ROW()-2)/(18*3*2)) + 1)</f>
        <v>Central Visayas</v>
      </c>
      <c r="B696" s="2" t="str">
        <f t="array" ref="B696">INDEX(Reference!$C$2:$C$19, MOD(ROW()-2, 18) + 1)</f>
        <v>....Information and communication</v>
      </c>
      <c r="C696" s="1" t="str">
        <f t="shared" si="1"/>
        <v>Sub</v>
      </c>
      <c r="D696" s="1">
        <f t="shared" si="2"/>
        <v>2024</v>
      </c>
      <c r="E696" s="1" t="str">
        <f t="shared" si="3"/>
        <v>At Current Prices</v>
      </c>
      <c r="F696" s="3">
        <v>5.1906504E7</v>
      </c>
    </row>
    <row r="697" ht="15.75" customHeight="1">
      <c r="A697" s="1" t="str">
        <f t="array" ref="A697">INDEX(Reference!$A$2:$A$18, INT((ROW()-2)/(18*3*2)) + 1)</f>
        <v>Central Visayas</v>
      </c>
      <c r="B697" s="2" t="str">
        <f t="array" ref="B697">INDEX(Reference!$C$2:$C$19, MOD(ROW()-2, 18) + 1)</f>
        <v>....Financial and insurance activities</v>
      </c>
      <c r="C697" s="1" t="str">
        <f t="shared" si="1"/>
        <v>Sub</v>
      </c>
      <c r="D697" s="1">
        <f t="shared" si="2"/>
        <v>2024</v>
      </c>
      <c r="E697" s="1" t="str">
        <f t="shared" si="3"/>
        <v>At Current Prices</v>
      </c>
      <c r="F697" s="3">
        <v>1.53094838E8</v>
      </c>
    </row>
    <row r="698" ht="15.75" customHeight="1">
      <c r="A698" s="1" t="str">
        <f t="array" ref="A698">INDEX(Reference!$A$2:$A$18, INT((ROW()-2)/(18*3*2)) + 1)</f>
        <v>Central Visayas</v>
      </c>
      <c r="B698" s="2" t="str">
        <f t="array" ref="B698">INDEX(Reference!$C$2:$C$19, MOD(ROW()-2, 18) + 1)</f>
        <v>....Real estate and ownership of dwellings</v>
      </c>
      <c r="C698" s="1" t="str">
        <f t="shared" si="1"/>
        <v>Sub</v>
      </c>
      <c r="D698" s="1">
        <f t="shared" si="2"/>
        <v>2024</v>
      </c>
      <c r="E698" s="1" t="str">
        <f t="shared" si="3"/>
        <v>At Current Prices</v>
      </c>
      <c r="F698" s="3">
        <v>1.24205864E8</v>
      </c>
    </row>
    <row r="699" ht="15.75" customHeight="1">
      <c r="A699" s="1" t="str">
        <f t="array" ref="A699">INDEX(Reference!$A$2:$A$18, INT((ROW()-2)/(18*3*2)) + 1)</f>
        <v>Central Visayas</v>
      </c>
      <c r="B699" s="2" t="str">
        <f t="array" ref="B699">INDEX(Reference!$C$2:$C$19, MOD(ROW()-2, 18) + 1)</f>
        <v>....Professional and business services</v>
      </c>
      <c r="C699" s="1" t="str">
        <f t="shared" si="1"/>
        <v>Sub</v>
      </c>
      <c r="D699" s="1">
        <f t="shared" si="2"/>
        <v>2024</v>
      </c>
      <c r="E699" s="1" t="str">
        <f t="shared" si="3"/>
        <v>At Current Prices</v>
      </c>
      <c r="F699" s="3">
        <v>1.05824461E8</v>
      </c>
    </row>
    <row r="700" ht="15.75" customHeight="1">
      <c r="A700" s="1" t="str">
        <f t="array" ref="A700">INDEX(Reference!$A$2:$A$18, INT((ROW()-2)/(18*3*2)) + 1)</f>
        <v>Central Visayas</v>
      </c>
      <c r="B700" s="2" t="str">
        <f t="array" ref="B700">INDEX(Reference!$C$2:$C$19, MOD(ROW()-2, 18) + 1)</f>
        <v>....Public administration and defense; compulsory social activities</v>
      </c>
      <c r="C700" s="1" t="str">
        <f t="shared" si="1"/>
        <v>Sub</v>
      </c>
      <c r="D700" s="1">
        <f t="shared" si="2"/>
        <v>2024</v>
      </c>
      <c r="E700" s="1" t="str">
        <f t="shared" si="3"/>
        <v>At Current Prices</v>
      </c>
      <c r="F700" s="3">
        <v>3.679191E7</v>
      </c>
    </row>
    <row r="701" ht="15.75" customHeight="1">
      <c r="A701" s="1" t="str">
        <f t="array" ref="A701">INDEX(Reference!$A$2:$A$18, INT((ROW()-2)/(18*3*2)) + 1)</f>
        <v>Central Visayas</v>
      </c>
      <c r="B701" s="2" t="str">
        <f t="array" ref="B701">INDEX(Reference!$C$2:$C$19, MOD(ROW()-2, 18) + 1)</f>
        <v>....Education</v>
      </c>
      <c r="C701" s="1" t="str">
        <f t="shared" si="1"/>
        <v>Sub</v>
      </c>
      <c r="D701" s="1">
        <f t="shared" si="2"/>
        <v>2024</v>
      </c>
      <c r="E701" s="1" t="str">
        <f t="shared" si="3"/>
        <v>At Current Prices</v>
      </c>
      <c r="F701" s="3">
        <v>7.5161753E7</v>
      </c>
    </row>
    <row r="702" ht="15.75" customHeight="1">
      <c r="A702" s="1" t="str">
        <f t="array" ref="A702">INDEX(Reference!$A$2:$A$18, INT((ROW()-2)/(18*3*2)) + 1)</f>
        <v>Central Visayas</v>
      </c>
      <c r="B702" s="2" t="str">
        <f t="array" ref="B702">INDEX(Reference!$C$2:$C$19, MOD(ROW()-2, 18) + 1)</f>
        <v>....Human health and social work activities</v>
      </c>
      <c r="C702" s="1" t="str">
        <f t="shared" si="1"/>
        <v>Sub</v>
      </c>
      <c r="D702" s="1">
        <f t="shared" si="2"/>
        <v>2024</v>
      </c>
      <c r="E702" s="1" t="str">
        <f t="shared" si="3"/>
        <v>At Current Prices</v>
      </c>
      <c r="F702" s="3">
        <v>2.5723947E7</v>
      </c>
    </row>
    <row r="703" ht="15.75" customHeight="1">
      <c r="A703" s="1" t="str">
        <f t="array" ref="A703">INDEX(Reference!$A$2:$A$18, INT((ROW()-2)/(18*3*2)) + 1)</f>
        <v>Central Visayas</v>
      </c>
      <c r="B703" s="2" t="str">
        <f t="array" ref="B703">INDEX(Reference!$C$2:$C$19, MOD(ROW()-2, 18) + 1)</f>
        <v>....Other services</v>
      </c>
      <c r="C703" s="1" t="str">
        <f t="shared" si="1"/>
        <v>Sub</v>
      </c>
      <c r="D703" s="1">
        <f t="shared" si="2"/>
        <v>2024</v>
      </c>
      <c r="E703" s="1" t="str">
        <f t="shared" si="3"/>
        <v>At Current Prices</v>
      </c>
      <c r="F703" s="3">
        <v>1.8248089E7</v>
      </c>
    </row>
    <row r="704" ht="15.75" customHeight="1">
      <c r="A704" s="1" t="str">
        <f t="array" ref="A704">INDEX(Reference!$A$2:$A$18, INT((ROW()-2)/(18*3*2)) + 1)</f>
        <v>Central Visayas</v>
      </c>
      <c r="B704" s="2" t="str">
        <f t="array" ref="B704">INDEX(Reference!$C$2:$C$19, MOD(ROW()-2, 18) + 1)</f>
        <v>..Agriculture, forestry, and fishing</v>
      </c>
      <c r="C704" s="1" t="str">
        <f t="shared" si="1"/>
        <v>Main</v>
      </c>
      <c r="D704" s="1">
        <f t="shared" si="2"/>
        <v>2022</v>
      </c>
      <c r="E704" s="1" t="str">
        <f t="shared" si="3"/>
        <v>At Constant 2018 Prices</v>
      </c>
      <c r="F704" s="3">
        <v>5.7464136E7</v>
      </c>
    </row>
    <row r="705" ht="15.75" customHeight="1">
      <c r="A705" s="1" t="str">
        <f t="array" ref="A705">INDEX(Reference!$A$2:$A$18, INT((ROW()-2)/(18*3*2)) + 1)</f>
        <v>Central Visayas</v>
      </c>
      <c r="B705" s="2" t="str">
        <f t="array" ref="B705">INDEX(Reference!$C$2:$C$19, MOD(ROW()-2, 18) + 1)</f>
        <v>..Industry</v>
      </c>
      <c r="C705" s="1" t="str">
        <f t="shared" si="1"/>
        <v>Main</v>
      </c>
      <c r="D705" s="1">
        <f t="shared" si="2"/>
        <v>2022</v>
      </c>
      <c r="E705" s="1" t="str">
        <f t="shared" si="3"/>
        <v>At Constant 2018 Prices</v>
      </c>
      <c r="F705" s="3">
        <v>2.86110752E8</v>
      </c>
    </row>
    <row r="706" ht="15.75" customHeight="1">
      <c r="A706" s="1" t="str">
        <f t="array" ref="A706">INDEX(Reference!$A$2:$A$18, INT((ROW()-2)/(18*3*2)) + 1)</f>
        <v>Central Visayas</v>
      </c>
      <c r="B706" s="2" t="str">
        <f t="array" ref="B706">INDEX(Reference!$C$2:$C$19, MOD(ROW()-2, 18) + 1)</f>
        <v>....Mining and quarrying</v>
      </c>
      <c r="C706" s="1" t="str">
        <f t="shared" si="1"/>
        <v>Sub</v>
      </c>
      <c r="D706" s="1">
        <f t="shared" si="2"/>
        <v>2022</v>
      </c>
      <c r="E706" s="1" t="str">
        <f t="shared" si="3"/>
        <v>At Constant 2018 Prices</v>
      </c>
      <c r="F706" s="3">
        <v>4160243.0</v>
      </c>
    </row>
    <row r="707" ht="15.75" customHeight="1">
      <c r="A707" s="1" t="str">
        <f t="array" ref="A707">INDEX(Reference!$A$2:$A$18, INT((ROW()-2)/(18*3*2)) + 1)</f>
        <v>Central Visayas</v>
      </c>
      <c r="B707" s="2" t="str">
        <f t="array" ref="B707">INDEX(Reference!$C$2:$C$19, MOD(ROW()-2, 18) + 1)</f>
        <v>....Manufacturing</v>
      </c>
      <c r="C707" s="1" t="str">
        <f t="shared" si="1"/>
        <v>Sub</v>
      </c>
      <c r="D707" s="1">
        <f t="shared" si="2"/>
        <v>2022</v>
      </c>
      <c r="E707" s="1" t="str">
        <f t="shared" si="3"/>
        <v>At Constant 2018 Prices</v>
      </c>
      <c r="F707" s="3">
        <v>1.84038578E8</v>
      </c>
    </row>
    <row r="708" ht="15.75" customHeight="1">
      <c r="A708" s="1" t="str">
        <f t="array" ref="A708">INDEX(Reference!$A$2:$A$18, INT((ROW()-2)/(18*3*2)) + 1)</f>
        <v>Central Visayas</v>
      </c>
      <c r="B708" s="2" t="str">
        <f t="array" ref="B708">INDEX(Reference!$C$2:$C$19, MOD(ROW()-2, 18) + 1)</f>
        <v>....Electricity, steam, water and waste management</v>
      </c>
      <c r="C708" s="1" t="str">
        <f t="shared" si="1"/>
        <v>Sub</v>
      </c>
      <c r="D708" s="1">
        <f t="shared" si="2"/>
        <v>2022</v>
      </c>
      <c r="E708" s="1" t="str">
        <f t="shared" si="3"/>
        <v>At Constant 2018 Prices</v>
      </c>
      <c r="F708" s="3">
        <v>3.4917237E7</v>
      </c>
    </row>
    <row r="709" ht="15.75" customHeight="1">
      <c r="A709" s="1" t="str">
        <f t="array" ref="A709">INDEX(Reference!$A$2:$A$18, INT((ROW()-2)/(18*3*2)) + 1)</f>
        <v>Central Visayas</v>
      </c>
      <c r="B709" s="2" t="str">
        <f t="array" ref="B709">INDEX(Reference!$C$2:$C$19, MOD(ROW()-2, 18) + 1)</f>
        <v>....Construction</v>
      </c>
      <c r="C709" s="1" t="str">
        <f t="shared" si="1"/>
        <v>Sub</v>
      </c>
      <c r="D709" s="1">
        <f t="shared" si="2"/>
        <v>2022</v>
      </c>
      <c r="E709" s="1" t="str">
        <f t="shared" si="3"/>
        <v>At Constant 2018 Prices</v>
      </c>
      <c r="F709" s="3">
        <v>6.2994694E7</v>
      </c>
    </row>
    <row r="710" ht="15.75" customHeight="1">
      <c r="A710" s="1" t="str">
        <f t="array" ref="A710">INDEX(Reference!$A$2:$A$18, INT((ROW()-2)/(18*3*2)) + 1)</f>
        <v>Central Visayas</v>
      </c>
      <c r="B710" s="2" t="str">
        <f t="array" ref="B710">INDEX(Reference!$C$2:$C$19, MOD(ROW()-2, 18) + 1)</f>
        <v>..Services</v>
      </c>
      <c r="C710" s="1" t="str">
        <f t="shared" si="1"/>
        <v>Main</v>
      </c>
      <c r="D710" s="1">
        <f t="shared" si="2"/>
        <v>2022</v>
      </c>
      <c r="E710" s="1" t="str">
        <f t="shared" si="3"/>
        <v>At Constant 2018 Prices</v>
      </c>
      <c r="F710" s="3">
        <v>7.65392345E8</v>
      </c>
    </row>
    <row r="711" ht="15.75" customHeight="1">
      <c r="A711" s="1" t="str">
        <f t="array" ref="A711">INDEX(Reference!$A$2:$A$18, INT((ROW()-2)/(18*3*2)) + 1)</f>
        <v>Central Visayas</v>
      </c>
      <c r="B711" s="2" t="str">
        <f t="array" ref="B711">INDEX(Reference!$C$2:$C$19, MOD(ROW()-2, 18) + 1)</f>
        <v>....Wholesale and retail trade; repair of motor vehicles and motorcycles</v>
      </c>
      <c r="C711" s="1" t="str">
        <f t="shared" si="1"/>
        <v>Sub</v>
      </c>
      <c r="D711" s="1">
        <f t="shared" si="2"/>
        <v>2022</v>
      </c>
      <c r="E711" s="1" t="str">
        <f t="shared" si="3"/>
        <v>At Constant 2018 Prices</v>
      </c>
      <c r="F711" s="3">
        <v>2.38758686E8</v>
      </c>
    </row>
    <row r="712" ht="15.75" customHeight="1">
      <c r="A712" s="1" t="str">
        <f t="array" ref="A712">INDEX(Reference!$A$2:$A$18, INT((ROW()-2)/(18*3*2)) + 1)</f>
        <v>Central Visayas</v>
      </c>
      <c r="B712" s="2" t="str">
        <f t="array" ref="B712">INDEX(Reference!$C$2:$C$19, MOD(ROW()-2, 18) + 1)</f>
        <v>....Transportation and storage</v>
      </c>
      <c r="C712" s="1" t="str">
        <f t="shared" si="1"/>
        <v>Sub</v>
      </c>
      <c r="D712" s="1">
        <f t="shared" si="2"/>
        <v>2022</v>
      </c>
      <c r="E712" s="1" t="str">
        <f t="shared" si="3"/>
        <v>At Constant 2018 Prices</v>
      </c>
      <c r="F712" s="3">
        <v>4.5066108E7</v>
      </c>
    </row>
    <row r="713" ht="15.75" customHeight="1">
      <c r="A713" s="1" t="str">
        <f t="array" ref="A713">INDEX(Reference!$A$2:$A$18, INT((ROW()-2)/(18*3*2)) + 1)</f>
        <v>Central Visayas</v>
      </c>
      <c r="B713" s="2" t="str">
        <f t="array" ref="B713">INDEX(Reference!$C$2:$C$19, MOD(ROW()-2, 18) + 1)</f>
        <v>....Accommodation and food service activities</v>
      </c>
      <c r="C713" s="1" t="str">
        <f t="shared" si="1"/>
        <v>Sub</v>
      </c>
      <c r="D713" s="1">
        <f t="shared" si="2"/>
        <v>2022</v>
      </c>
      <c r="E713" s="1" t="str">
        <f t="shared" si="3"/>
        <v>At Constant 2018 Prices</v>
      </c>
      <c r="F713" s="3">
        <v>2.9461722E7</v>
      </c>
    </row>
    <row r="714" ht="15.75" customHeight="1">
      <c r="A714" s="1" t="str">
        <f t="array" ref="A714">INDEX(Reference!$A$2:$A$18, INT((ROW()-2)/(18*3*2)) + 1)</f>
        <v>Central Visayas</v>
      </c>
      <c r="B714" s="2" t="str">
        <f t="array" ref="B714">INDEX(Reference!$C$2:$C$19, MOD(ROW()-2, 18) + 1)</f>
        <v>....Information and communication</v>
      </c>
      <c r="C714" s="1" t="str">
        <f t="shared" si="1"/>
        <v>Sub</v>
      </c>
      <c r="D714" s="1">
        <f t="shared" si="2"/>
        <v>2022</v>
      </c>
      <c r="E714" s="1" t="str">
        <f t="shared" si="3"/>
        <v>At Constant 2018 Prices</v>
      </c>
      <c r="F714" s="3">
        <v>4.8376063E7</v>
      </c>
    </row>
    <row r="715" ht="15.75" customHeight="1">
      <c r="A715" s="1" t="str">
        <f t="array" ref="A715">INDEX(Reference!$A$2:$A$18, INT((ROW()-2)/(18*3*2)) + 1)</f>
        <v>Central Visayas</v>
      </c>
      <c r="B715" s="2" t="str">
        <f t="array" ref="B715">INDEX(Reference!$C$2:$C$19, MOD(ROW()-2, 18) + 1)</f>
        <v>....Financial and insurance activities</v>
      </c>
      <c r="C715" s="1" t="str">
        <f t="shared" si="1"/>
        <v>Sub</v>
      </c>
      <c r="D715" s="1">
        <f t="shared" si="2"/>
        <v>2022</v>
      </c>
      <c r="E715" s="1" t="str">
        <f t="shared" si="3"/>
        <v>At Constant 2018 Prices</v>
      </c>
      <c r="F715" s="3">
        <v>1.10842054E8</v>
      </c>
    </row>
    <row r="716" ht="15.75" customHeight="1">
      <c r="A716" s="1" t="str">
        <f t="array" ref="A716">INDEX(Reference!$A$2:$A$18, INT((ROW()-2)/(18*3*2)) + 1)</f>
        <v>Central Visayas</v>
      </c>
      <c r="B716" s="2" t="str">
        <f t="array" ref="B716">INDEX(Reference!$C$2:$C$19, MOD(ROW()-2, 18) + 1)</f>
        <v>....Real estate and ownership of dwellings</v>
      </c>
      <c r="C716" s="1" t="str">
        <f t="shared" si="1"/>
        <v>Sub</v>
      </c>
      <c r="D716" s="1">
        <f t="shared" si="2"/>
        <v>2022</v>
      </c>
      <c r="E716" s="1" t="str">
        <f t="shared" si="3"/>
        <v>At Constant 2018 Prices</v>
      </c>
      <c r="F716" s="3">
        <v>9.6010612E7</v>
      </c>
    </row>
    <row r="717" ht="15.75" customHeight="1">
      <c r="A717" s="1" t="str">
        <f t="array" ref="A717">INDEX(Reference!$A$2:$A$18, INT((ROW()-2)/(18*3*2)) + 1)</f>
        <v>Central Visayas</v>
      </c>
      <c r="B717" s="2" t="str">
        <f t="array" ref="B717">INDEX(Reference!$C$2:$C$19, MOD(ROW()-2, 18) + 1)</f>
        <v>....Professional and business services</v>
      </c>
      <c r="C717" s="1" t="str">
        <f t="shared" si="1"/>
        <v>Sub</v>
      </c>
      <c r="D717" s="1">
        <f t="shared" si="2"/>
        <v>2022</v>
      </c>
      <c r="E717" s="1" t="str">
        <f t="shared" si="3"/>
        <v>At Constant 2018 Prices</v>
      </c>
      <c r="F717" s="3">
        <v>8.3025587E7</v>
      </c>
    </row>
    <row r="718" ht="15.75" customHeight="1">
      <c r="A718" s="1" t="str">
        <f t="array" ref="A718">INDEX(Reference!$A$2:$A$18, INT((ROW()-2)/(18*3*2)) + 1)</f>
        <v>Central Visayas</v>
      </c>
      <c r="B718" s="2" t="str">
        <f t="array" ref="B718">INDEX(Reference!$C$2:$C$19, MOD(ROW()-2, 18) + 1)</f>
        <v>....Public administration and defense; compulsory social activities</v>
      </c>
      <c r="C718" s="1" t="str">
        <f t="shared" si="1"/>
        <v>Sub</v>
      </c>
      <c r="D718" s="1">
        <f t="shared" si="2"/>
        <v>2022</v>
      </c>
      <c r="E718" s="1" t="str">
        <f t="shared" si="3"/>
        <v>At Constant 2018 Prices</v>
      </c>
      <c r="F718" s="3">
        <v>2.7568444E7</v>
      </c>
    </row>
    <row r="719" ht="15.75" customHeight="1">
      <c r="A719" s="1" t="str">
        <f t="array" ref="A719">INDEX(Reference!$A$2:$A$18, INT((ROW()-2)/(18*3*2)) + 1)</f>
        <v>Central Visayas</v>
      </c>
      <c r="B719" s="2" t="str">
        <f t="array" ref="B719">INDEX(Reference!$C$2:$C$19, MOD(ROW()-2, 18) + 1)</f>
        <v>....Education</v>
      </c>
      <c r="C719" s="1" t="str">
        <f t="shared" si="1"/>
        <v>Sub</v>
      </c>
      <c r="D719" s="1">
        <f t="shared" si="2"/>
        <v>2022</v>
      </c>
      <c r="E719" s="1" t="str">
        <f t="shared" si="3"/>
        <v>At Constant 2018 Prices</v>
      </c>
      <c r="F719" s="3">
        <v>5.7199123E7</v>
      </c>
    </row>
    <row r="720" ht="15.75" customHeight="1">
      <c r="A720" s="1" t="str">
        <f t="array" ref="A720">INDEX(Reference!$A$2:$A$18, INT((ROW()-2)/(18*3*2)) + 1)</f>
        <v>Central Visayas</v>
      </c>
      <c r="B720" s="2" t="str">
        <f t="array" ref="B720">INDEX(Reference!$C$2:$C$19, MOD(ROW()-2, 18) + 1)</f>
        <v>....Human health and social work activities</v>
      </c>
      <c r="C720" s="1" t="str">
        <f t="shared" si="1"/>
        <v>Sub</v>
      </c>
      <c r="D720" s="1">
        <f t="shared" si="2"/>
        <v>2022</v>
      </c>
      <c r="E720" s="1" t="str">
        <f t="shared" si="3"/>
        <v>At Constant 2018 Prices</v>
      </c>
      <c r="F720" s="3">
        <v>1.7114457E7</v>
      </c>
    </row>
    <row r="721" ht="15.75" customHeight="1">
      <c r="A721" s="1" t="str">
        <f t="array" ref="A721">INDEX(Reference!$A$2:$A$18, INT((ROW()-2)/(18*3*2)) + 1)</f>
        <v>Central Visayas</v>
      </c>
      <c r="B721" s="2" t="str">
        <f t="array" ref="B721">INDEX(Reference!$C$2:$C$19, MOD(ROW()-2, 18) + 1)</f>
        <v>....Other services</v>
      </c>
      <c r="C721" s="1" t="str">
        <f t="shared" si="1"/>
        <v>Sub</v>
      </c>
      <c r="D721" s="1">
        <f t="shared" si="2"/>
        <v>2022</v>
      </c>
      <c r="E721" s="1" t="str">
        <f t="shared" si="3"/>
        <v>At Constant 2018 Prices</v>
      </c>
      <c r="F721" s="3">
        <v>1.1969491E7</v>
      </c>
    </row>
    <row r="722" ht="15.75" customHeight="1">
      <c r="A722" s="1" t="str">
        <f t="array" ref="A722">INDEX(Reference!$A$2:$A$18, INT((ROW()-2)/(18*3*2)) + 1)</f>
        <v>Central Visayas</v>
      </c>
      <c r="B722" s="2" t="str">
        <f t="array" ref="B722">INDEX(Reference!$C$2:$C$19, MOD(ROW()-2, 18) + 1)</f>
        <v>..Agriculture, forestry, and fishing</v>
      </c>
      <c r="C722" s="1" t="str">
        <f t="shared" si="1"/>
        <v>Main</v>
      </c>
      <c r="D722" s="1">
        <f t="shared" si="2"/>
        <v>2023</v>
      </c>
      <c r="E722" s="1" t="str">
        <f t="shared" si="3"/>
        <v>At Constant 2018 Prices</v>
      </c>
      <c r="F722" s="3">
        <v>6.0043635E7</v>
      </c>
    </row>
    <row r="723" ht="15.75" customHeight="1">
      <c r="A723" s="1" t="str">
        <f t="array" ref="A723">INDEX(Reference!$A$2:$A$18, INT((ROW()-2)/(18*3*2)) + 1)</f>
        <v>Central Visayas</v>
      </c>
      <c r="B723" s="2" t="str">
        <f t="array" ref="B723">INDEX(Reference!$C$2:$C$19, MOD(ROW()-2, 18) + 1)</f>
        <v>..Industry</v>
      </c>
      <c r="C723" s="1" t="str">
        <f t="shared" si="1"/>
        <v>Main</v>
      </c>
      <c r="D723" s="1">
        <f t="shared" si="2"/>
        <v>2023</v>
      </c>
      <c r="E723" s="1" t="str">
        <f t="shared" si="3"/>
        <v>At Constant 2018 Prices</v>
      </c>
      <c r="F723" s="3">
        <v>2.9805916E8</v>
      </c>
    </row>
    <row r="724" ht="15.75" customHeight="1">
      <c r="A724" s="1" t="str">
        <f t="array" ref="A724">INDEX(Reference!$A$2:$A$18, INT((ROW()-2)/(18*3*2)) + 1)</f>
        <v>Central Visayas</v>
      </c>
      <c r="B724" s="2" t="str">
        <f t="array" ref="B724">INDEX(Reference!$C$2:$C$19, MOD(ROW()-2, 18) + 1)</f>
        <v>....Mining and quarrying</v>
      </c>
      <c r="C724" s="1" t="str">
        <f t="shared" si="1"/>
        <v>Sub</v>
      </c>
      <c r="D724" s="1">
        <f t="shared" si="2"/>
        <v>2023</v>
      </c>
      <c r="E724" s="1" t="str">
        <f t="shared" si="3"/>
        <v>At Constant 2018 Prices</v>
      </c>
      <c r="F724" s="3">
        <v>4290586.0</v>
      </c>
    </row>
    <row r="725" ht="15.75" customHeight="1">
      <c r="A725" s="1" t="str">
        <f t="array" ref="A725">INDEX(Reference!$A$2:$A$18, INT((ROW()-2)/(18*3*2)) + 1)</f>
        <v>Central Visayas</v>
      </c>
      <c r="B725" s="2" t="str">
        <f t="array" ref="B725">INDEX(Reference!$C$2:$C$19, MOD(ROW()-2, 18) + 1)</f>
        <v>....Manufacturing</v>
      </c>
      <c r="C725" s="1" t="str">
        <f t="shared" si="1"/>
        <v>Sub</v>
      </c>
      <c r="D725" s="1">
        <f t="shared" si="2"/>
        <v>2023</v>
      </c>
      <c r="E725" s="1" t="str">
        <f t="shared" si="3"/>
        <v>At Constant 2018 Prices</v>
      </c>
      <c r="F725" s="3">
        <v>1.86833377E8</v>
      </c>
    </row>
    <row r="726" ht="15.75" customHeight="1">
      <c r="A726" s="1" t="str">
        <f t="array" ref="A726">INDEX(Reference!$A$2:$A$18, INT((ROW()-2)/(18*3*2)) + 1)</f>
        <v>Central Visayas</v>
      </c>
      <c r="B726" s="2" t="str">
        <f t="array" ref="B726">INDEX(Reference!$C$2:$C$19, MOD(ROW()-2, 18) + 1)</f>
        <v>....Electricity, steam, water and waste management</v>
      </c>
      <c r="C726" s="1" t="str">
        <f t="shared" si="1"/>
        <v>Sub</v>
      </c>
      <c r="D726" s="1">
        <f t="shared" si="2"/>
        <v>2023</v>
      </c>
      <c r="E726" s="1" t="str">
        <f t="shared" si="3"/>
        <v>At Constant 2018 Prices</v>
      </c>
      <c r="F726" s="3">
        <v>3.5078785E7</v>
      </c>
    </row>
    <row r="727" ht="15.75" customHeight="1">
      <c r="A727" s="1" t="str">
        <f t="array" ref="A727">INDEX(Reference!$A$2:$A$18, INT((ROW()-2)/(18*3*2)) + 1)</f>
        <v>Central Visayas</v>
      </c>
      <c r="B727" s="2" t="str">
        <f t="array" ref="B727">INDEX(Reference!$C$2:$C$19, MOD(ROW()-2, 18) + 1)</f>
        <v>....Construction</v>
      </c>
      <c r="C727" s="1" t="str">
        <f t="shared" si="1"/>
        <v>Sub</v>
      </c>
      <c r="D727" s="1">
        <f t="shared" si="2"/>
        <v>2023</v>
      </c>
      <c r="E727" s="1" t="str">
        <f t="shared" si="3"/>
        <v>At Constant 2018 Prices</v>
      </c>
      <c r="F727" s="3">
        <v>7.1856413E7</v>
      </c>
    </row>
    <row r="728" ht="15.75" customHeight="1">
      <c r="A728" s="1" t="str">
        <f t="array" ref="A728">INDEX(Reference!$A$2:$A$18, INT((ROW()-2)/(18*3*2)) + 1)</f>
        <v>Central Visayas</v>
      </c>
      <c r="B728" s="2" t="str">
        <f t="array" ref="B728">INDEX(Reference!$C$2:$C$19, MOD(ROW()-2, 18) + 1)</f>
        <v>..Services</v>
      </c>
      <c r="C728" s="1" t="str">
        <f t="shared" si="1"/>
        <v>Main</v>
      </c>
      <c r="D728" s="1">
        <f t="shared" si="2"/>
        <v>2023</v>
      </c>
      <c r="E728" s="1" t="str">
        <f t="shared" si="3"/>
        <v>At Constant 2018 Prices</v>
      </c>
      <c r="F728" s="3">
        <v>8.31455978E8</v>
      </c>
    </row>
    <row r="729" ht="15.75" customHeight="1">
      <c r="A729" s="1" t="str">
        <f t="array" ref="A729">INDEX(Reference!$A$2:$A$18, INT((ROW()-2)/(18*3*2)) + 1)</f>
        <v>Central Visayas</v>
      </c>
      <c r="B729" s="2" t="str">
        <f t="array" ref="B729">INDEX(Reference!$C$2:$C$19, MOD(ROW()-2, 18) + 1)</f>
        <v>....Wholesale and retail trade; repair of motor vehicles and motorcycles</v>
      </c>
      <c r="C729" s="1" t="str">
        <f t="shared" si="1"/>
        <v>Sub</v>
      </c>
      <c r="D729" s="1">
        <f t="shared" si="2"/>
        <v>2023</v>
      </c>
      <c r="E729" s="1" t="str">
        <f t="shared" si="3"/>
        <v>At Constant 2018 Prices</v>
      </c>
      <c r="F729" s="3">
        <v>2.52925975E8</v>
      </c>
    </row>
    <row r="730" ht="15.75" customHeight="1">
      <c r="A730" s="1" t="str">
        <f t="array" ref="A730">INDEX(Reference!$A$2:$A$18, INT((ROW()-2)/(18*3*2)) + 1)</f>
        <v>Central Visayas</v>
      </c>
      <c r="B730" s="2" t="str">
        <f t="array" ref="B730">INDEX(Reference!$C$2:$C$19, MOD(ROW()-2, 18) + 1)</f>
        <v>....Transportation and storage</v>
      </c>
      <c r="C730" s="1" t="str">
        <f t="shared" si="1"/>
        <v>Sub</v>
      </c>
      <c r="D730" s="1">
        <f t="shared" si="2"/>
        <v>2023</v>
      </c>
      <c r="E730" s="1" t="str">
        <f t="shared" si="3"/>
        <v>At Constant 2018 Prices</v>
      </c>
      <c r="F730" s="3">
        <v>5.659702E7</v>
      </c>
    </row>
    <row r="731" ht="15.75" customHeight="1">
      <c r="A731" s="1" t="str">
        <f t="array" ref="A731">INDEX(Reference!$A$2:$A$18, INT((ROW()-2)/(18*3*2)) + 1)</f>
        <v>Central Visayas</v>
      </c>
      <c r="B731" s="2" t="str">
        <f t="array" ref="B731">INDEX(Reference!$C$2:$C$19, MOD(ROW()-2, 18) + 1)</f>
        <v>....Accommodation and food service activities</v>
      </c>
      <c r="C731" s="1" t="str">
        <f t="shared" si="1"/>
        <v>Sub</v>
      </c>
      <c r="D731" s="1">
        <f t="shared" si="2"/>
        <v>2023</v>
      </c>
      <c r="E731" s="1" t="str">
        <f t="shared" si="3"/>
        <v>At Constant 2018 Prices</v>
      </c>
      <c r="F731" s="3">
        <v>3.9156108E7</v>
      </c>
    </row>
    <row r="732" ht="15.75" customHeight="1">
      <c r="A732" s="1" t="str">
        <f t="array" ref="A732">INDEX(Reference!$A$2:$A$18, INT((ROW()-2)/(18*3*2)) + 1)</f>
        <v>Central Visayas</v>
      </c>
      <c r="B732" s="2" t="str">
        <f t="array" ref="B732">INDEX(Reference!$C$2:$C$19, MOD(ROW()-2, 18) + 1)</f>
        <v>....Information and communication</v>
      </c>
      <c r="C732" s="1" t="str">
        <f t="shared" si="1"/>
        <v>Sub</v>
      </c>
      <c r="D732" s="1">
        <f t="shared" si="2"/>
        <v>2023</v>
      </c>
      <c r="E732" s="1" t="str">
        <f t="shared" si="3"/>
        <v>At Constant 2018 Prices</v>
      </c>
      <c r="F732" s="3">
        <v>4.9555944E7</v>
      </c>
    </row>
    <row r="733" ht="15.75" customHeight="1">
      <c r="A733" s="1" t="str">
        <f t="array" ref="A733">INDEX(Reference!$A$2:$A$18, INT((ROW()-2)/(18*3*2)) + 1)</f>
        <v>Central Visayas</v>
      </c>
      <c r="B733" s="2" t="str">
        <f t="array" ref="B733">INDEX(Reference!$C$2:$C$19, MOD(ROW()-2, 18) + 1)</f>
        <v>....Financial and insurance activities</v>
      </c>
      <c r="C733" s="1" t="str">
        <f t="shared" si="1"/>
        <v>Sub</v>
      </c>
      <c r="D733" s="1">
        <f t="shared" si="2"/>
        <v>2023</v>
      </c>
      <c r="E733" s="1" t="str">
        <f t="shared" si="3"/>
        <v>At Constant 2018 Prices</v>
      </c>
      <c r="F733" s="3">
        <v>1.19217964E8</v>
      </c>
    </row>
    <row r="734" ht="15.75" customHeight="1">
      <c r="A734" s="1" t="str">
        <f t="array" ref="A734">INDEX(Reference!$A$2:$A$18, INT((ROW()-2)/(18*3*2)) + 1)</f>
        <v>Central Visayas</v>
      </c>
      <c r="B734" s="2" t="str">
        <f t="array" ref="B734">INDEX(Reference!$C$2:$C$19, MOD(ROW()-2, 18) + 1)</f>
        <v>....Real estate and ownership of dwellings</v>
      </c>
      <c r="C734" s="1" t="str">
        <f t="shared" si="1"/>
        <v>Sub</v>
      </c>
      <c r="D734" s="1">
        <f t="shared" si="2"/>
        <v>2023</v>
      </c>
      <c r="E734" s="1" t="str">
        <f t="shared" si="3"/>
        <v>At Constant 2018 Prices</v>
      </c>
      <c r="F734" s="3">
        <v>9.9355291E7</v>
      </c>
    </row>
    <row r="735" ht="15.75" customHeight="1">
      <c r="A735" s="1" t="str">
        <f t="array" ref="A735">INDEX(Reference!$A$2:$A$18, INT((ROW()-2)/(18*3*2)) + 1)</f>
        <v>Central Visayas</v>
      </c>
      <c r="B735" s="2" t="str">
        <f t="array" ref="B735">INDEX(Reference!$C$2:$C$19, MOD(ROW()-2, 18) + 1)</f>
        <v>....Professional and business services</v>
      </c>
      <c r="C735" s="1" t="str">
        <f t="shared" si="1"/>
        <v>Sub</v>
      </c>
      <c r="D735" s="1">
        <f t="shared" si="2"/>
        <v>2023</v>
      </c>
      <c r="E735" s="1" t="str">
        <f t="shared" si="3"/>
        <v>At Constant 2018 Prices</v>
      </c>
      <c r="F735" s="3">
        <v>9.1895773E7</v>
      </c>
    </row>
    <row r="736" ht="15.75" customHeight="1">
      <c r="A736" s="1" t="str">
        <f t="array" ref="A736">INDEX(Reference!$A$2:$A$18, INT((ROW()-2)/(18*3*2)) + 1)</f>
        <v>Central Visayas</v>
      </c>
      <c r="B736" s="2" t="str">
        <f t="array" ref="B736">INDEX(Reference!$C$2:$C$19, MOD(ROW()-2, 18) + 1)</f>
        <v>....Public administration and defense; compulsory social activities</v>
      </c>
      <c r="C736" s="1" t="str">
        <f t="shared" si="1"/>
        <v>Sub</v>
      </c>
      <c r="D736" s="1">
        <f t="shared" si="2"/>
        <v>2023</v>
      </c>
      <c r="E736" s="1" t="str">
        <f t="shared" si="3"/>
        <v>At Constant 2018 Prices</v>
      </c>
      <c r="F736" s="3">
        <v>2.8872202E7</v>
      </c>
    </row>
    <row r="737" ht="15.75" customHeight="1">
      <c r="A737" s="1" t="str">
        <f t="array" ref="A737">INDEX(Reference!$A$2:$A$18, INT((ROW()-2)/(18*3*2)) + 1)</f>
        <v>Central Visayas</v>
      </c>
      <c r="B737" s="2" t="str">
        <f t="array" ref="B737">INDEX(Reference!$C$2:$C$19, MOD(ROW()-2, 18) + 1)</f>
        <v>....Education</v>
      </c>
      <c r="C737" s="1" t="str">
        <f t="shared" si="1"/>
        <v>Sub</v>
      </c>
      <c r="D737" s="1">
        <f t="shared" si="2"/>
        <v>2023</v>
      </c>
      <c r="E737" s="1" t="str">
        <f t="shared" si="3"/>
        <v>At Constant 2018 Prices</v>
      </c>
      <c r="F737" s="3">
        <v>6.0985931E7</v>
      </c>
    </row>
    <row r="738" ht="15.75" customHeight="1">
      <c r="A738" s="1" t="str">
        <f t="array" ref="A738">INDEX(Reference!$A$2:$A$18, INT((ROW()-2)/(18*3*2)) + 1)</f>
        <v>Central Visayas</v>
      </c>
      <c r="B738" s="2" t="str">
        <f t="array" ref="B738">INDEX(Reference!$C$2:$C$19, MOD(ROW()-2, 18) + 1)</f>
        <v>....Human health and social work activities</v>
      </c>
      <c r="C738" s="1" t="str">
        <f t="shared" si="1"/>
        <v>Sub</v>
      </c>
      <c r="D738" s="1">
        <f t="shared" si="2"/>
        <v>2023</v>
      </c>
      <c r="E738" s="1" t="str">
        <f t="shared" si="3"/>
        <v>At Constant 2018 Prices</v>
      </c>
      <c r="F738" s="3">
        <v>1.8272208E7</v>
      </c>
    </row>
    <row r="739" ht="15.75" customHeight="1">
      <c r="A739" s="1" t="str">
        <f t="array" ref="A739">INDEX(Reference!$A$2:$A$18, INT((ROW()-2)/(18*3*2)) + 1)</f>
        <v>Central Visayas</v>
      </c>
      <c r="B739" s="2" t="str">
        <f t="array" ref="B739">INDEX(Reference!$C$2:$C$19, MOD(ROW()-2, 18) + 1)</f>
        <v>....Other services</v>
      </c>
      <c r="C739" s="1" t="str">
        <f t="shared" si="1"/>
        <v>Sub</v>
      </c>
      <c r="D739" s="1">
        <f t="shared" si="2"/>
        <v>2023</v>
      </c>
      <c r="E739" s="1" t="str">
        <f t="shared" si="3"/>
        <v>At Constant 2018 Prices</v>
      </c>
      <c r="F739" s="3">
        <v>1.4621561E7</v>
      </c>
    </row>
    <row r="740" ht="15.75" customHeight="1">
      <c r="A740" s="1" t="str">
        <f t="array" ref="A740">INDEX(Reference!$A$2:$A$18, INT((ROW()-2)/(18*3*2)) + 1)</f>
        <v>Central Visayas</v>
      </c>
      <c r="B740" s="2" t="str">
        <f t="array" ref="B740">INDEX(Reference!$C$2:$C$19, MOD(ROW()-2, 18) + 1)</f>
        <v>..Agriculture, forestry, and fishing</v>
      </c>
      <c r="C740" s="1" t="str">
        <f t="shared" si="1"/>
        <v>Main</v>
      </c>
      <c r="D740" s="1">
        <f t="shared" si="2"/>
        <v>2024</v>
      </c>
      <c r="E740" s="1" t="str">
        <f t="shared" si="3"/>
        <v>At Constant 2018 Prices</v>
      </c>
      <c r="F740" s="3">
        <v>6.3312953E7</v>
      </c>
    </row>
    <row r="741" ht="15.75" customHeight="1">
      <c r="A741" s="1" t="str">
        <f t="array" ref="A741">INDEX(Reference!$A$2:$A$18, INT((ROW()-2)/(18*3*2)) + 1)</f>
        <v>Central Visayas</v>
      </c>
      <c r="B741" s="2" t="str">
        <f t="array" ref="B741">INDEX(Reference!$C$2:$C$19, MOD(ROW()-2, 18) + 1)</f>
        <v>..Industry</v>
      </c>
      <c r="C741" s="1" t="str">
        <f t="shared" si="1"/>
        <v>Main</v>
      </c>
      <c r="D741" s="1">
        <f t="shared" si="2"/>
        <v>2024</v>
      </c>
      <c r="E741" s="1" t="str">
        <f t="shared" si="3"/>
        <v>At Constant 2018 Prices</v>
      </c>
      <c r="F741" s="3">
        <v>3.18431229E8</v>
      </c>
    </row>
    <row r="742" ht="15.75" customHeight="1">
      <c r="A742" s="1" t="str">
        <f t="array" ref="A742">INDEX(Reference!$A$2:$A$18, INT((ROW()-2)/(18*3*2)) + 1)</f>
        <v>Central Visayas</v>
      </c>
      <c r="B742" s="2" t="str">
        <f t="array" ref="B742">INDEX(Reference!$C$2:$C$19, MOD(ROW()-2, 18) + 1)</f>
        <v>....Mining and quarrying</v>
      </c>
      <c r="C742" s="1" t="str">
        <f t="shared" si="1"/>
        <v>Sub</v>
      </c>
      <c r="D742" s="1">
        <f t="shared" si="2"/>
        <v>2024</v>
      </c>
      <c r="E742" s="1" t="str">
        <f t="shared" si="3"/>
        <v>At Constant 2018 Prices</v>
      </c>
      <c r="F742" s="3">
        <v>4459313.0</v>
      </c>
    </row>
    <row r="743" ht="15.75" customHeight="1">
      <c r="A743" s="1" t="str">
        <f t="array" ref="A743">INDEX(Reference!$A$2:$A$18, INT((ROW()-2)/(18*3*2)) + 1)</f>
        <v>Central Visayas</v>
      </c>
      <c r="B743" s="2" t="str">
        <f t="array" ref="B743">INDEX(Reference!$C$2:$C$19, MOD(ROW()-2, 18) + 1)</f>
        <v>....Manufacturing</v>
      </c>
      <c r="C743" s="1" t="str">
        <f t="shared" si="1"/>
        <v>Sub</v>
      </c>
      <c r="D743" s="1">
        <f t="shared" si="2"/>
        <v>2024</v>
      </c>
      <c r="E743" s="1" t="str">
        <f t="shared" si="3"/>
        <v>At Constant 2018 Prices</v>
      </c>
      <c r="F743" s="3">
        <v>1.99238885E8</v>
      </c>
    </row>
    <row r="744" ht="15.75" customHeight="1">
      <c r="A744" s="1" t="str">
        <f t="array" ref="A744">INDEX(Reference!$A$2:$A$18, INT((ROW()-2)/(18*3*2)) + 1)</f>
        <v>Central Visayas</v>
      </c>
      <c r="B744" s="2" t="str">
        <f t="array" ref="B744">INDEX(Reference!$C$2:$C$19, MOD(ROW()-2, 18) + 1)</f>
        <v>....Electricity, steam, water and waste management</v>
      </c>
      <c r="C744" s="1" t="str">
        <f t="shared" si="1"/>
        <v>Sub</v>
      </c>
      <c r="D744" s="1">
        <f t="shared" si="2"/>
        <v>2024</v>
      </c>
      <c r="E744" s="1" t="str">
        <f t="shared" si="3"/>
        <v>At Constant 2018 Prices</v>
      </c>
      <c r="F744" s="3">
        <v>3.7809168E7</v>
      </c>
    </row>
    <row r="745" ht="15.75" customHeight="1">
      <c r="A745" s="1" t="str">
        <f t="array" ref="A745">INDEX(Reference!$A$2:$A$18, INT((ROW()-2)/(18*3*2)) + 1)</f>
        <v>Central Visayas</v>
      </c>
      <c r="B745" s="2" t="str">
        <f t="array" ref="B745">INDEX(Reference!$C$2:$C$19, MOD(ROW()-2, 18) + 1)</f>
        <v>....Construction</v>
      </c>
      <c r="C745" s="1" t="str">
        <f t="shared" si="1"/>
        <v>Sub</v>
      </c>
      <c r="D745" s="1">
        <f t="shared" si="2"/>
        <v>2024</v>
      </c>
      <c r="E745" s="1" t="str">
        <f t="shared" si="3"/>
        <v>At Constant 2018 Prices</v>
      </c>
      <c r="F745" s="3">
        <v>7.6923863E7</v>
      </c>
    </row>
    <row r="746" ht="15.75" customHeight="1">
      <c r="A746" s="1" t="str">
        <f t="array" ref="A746">INDEX(Reference!$A$2:$A$18, INT((ROW()-2)/(18*3*2)) + 1)</f>
        <v>Central Visayas</v>
      </c>
      <c r="B746" s="2" t="str">
        <f t="array" ref="B746">INDEX(Reference!$C$2:$C$19, MOD(ROW()-2, 18) + 1)</f>
        <v>..Services</v>
      </c>
      <c r="C746" s="1" t="str">
        <f t="shared" si="1"/>
        <v>Main</v>
      </c>
      <c r="D746" s="1">
        <f t="shared" si="2"/>
        <v>2024</v>
      </c>
      <c r="E746" s="1" t="str">
        <f t="shared" si="3"/>
        <v>At Constant 2018 Prices</v>
      </c>
      <c r="F746" s="3">
        <v>8.94603684E8</v>
      </c>
    </row>
    <row r="747" ht="15.75" customHeight="1">
      <c r="A747" s="1" t="str">
        <f t="array" ref="A747">INDEX(Reference!$A$2:$A$18, INT((ROW()-2)/(18*3*2)) + 1)</f>
        <v>Central Visayas</v>
      </c>
      <c r="B747" s="2" t="str">
        <f t="array" ref="B747">INDEX(Reference!$C$2:$C$19, MOD(ROW()-2, 18) + 1)</f>
        <v>....Wholesale and retail trade; repair of motor vehicles and motorcycles</v>
      </c>
      <c r="C747" s="1" t="str">
        <f t="shared" si="1"/>
        <v>Sub</v>
      </c>
      <c r="D747" s="1">
        <f t="shared" si="2"/>
        <v>2024</v>
      </c>
      <c r="E747" s="1" t="str">
        <f t="shared" si="3"/>
        <v>At Constant 2018 Prices</v>
      </c>
      <c r="F747" s="3">
        <v>2.72402554E8</v>
      </c>
    </row>
    <row r="748" ht="15.75" customHeight="1">
      <c r="A748" s="1" t="str">
        <f t="array" ref="A748">INDEX(Reference!$A$2:$A$18, INT((ROW()-2)/(18*3*2)) + 1)</f>
        <v>Central Visayas</v>
      </c>
      <c r="B748" s="2" t="str">
        <f t="array" ref="B748">INDEX(Reference!$C$2:$C$19, MOD(ROW()-2, 18) + 1)</f>
        <v>....Transportation and storage</v>
      </c>
      <c r="C748" s="1" t="str">
        <f t="shared" si="1"/>
        <v>Sub</v>
      </c>
      <c r="D748" s="1">
        <f t="shared" si="2"/>
        <v>2024</v>
      </c>
      <c r="E748" s="1" t="str">
        <f t="shared" si="3"/>
        <v>At Constant 2018 Prices</v>
      </c>
      <c r="F748" s="3">
        <v>6.2966078E7</v>
      </c>
    </row>
    <row r="749" ht="15.75" customHeight="1">
      <c r="A749" s="1" t="str">
        <f t="array" ref="A749">INDEX(Reference!$A$2:$A$18, INT((ROW()-2)/(18*3*2)) + 1)</f>
        <v>Central Visayas</v>
      </c>
      <c r="B749" s="2" t="str">
        <f t="array" ref="B749">INDEX(Reference!$C$2:$C$19, MOD(ROW()-2, 18) + 1)</f>
        <v>....Accommodation and food service activities</v>
      </c>
      <c r="C749" s="1" t="str">
        <f t="shared" si="1"/>
        <v>Sub</v>
      </c>
      <c r="D749" s="1">
        <f t="shared" si="2"/>
        <v>2024</v>
      </c>
      <c r="E749" s="1" t="str">
        <f t="shared" si="3"/>
        <v>At Constant 2018 Prices</v>
      </c>
      <c r="F749" s="3">
        <v>4.4868648E7</v>
      </c>
    </row>
    <row r="750" ht="15.75" customHeight="1">
      <c r="A750" s="1" t="str">
        <f t="array" ref="A750">INDEX(Reference!$A$2:$A$18, INT((ROW()-2)/(18*3*2)) + 1)</f>
        <v>Central Visayas</v>
      </c>
      <c r="B750" s="2" t="str">
        <f t="array" ref="B750">INDEX(Reference!$C$2:$C$19, MOD(ROW()-2, 18) + 1)</f>
        <v>....Information and communication</v>
      </c>
      <c r="C750" s="1" t="str">
        <f t="shared" si="1"/>
        <v>Sub</v>
      </c>
      <c r="D750" s="1">
        <f t="shared" si="2"/>
        <v>2024</v>
      </c>
      <c r="E750" s="1" t="str">
        <f t="shared" si="3"/>
        <v>At Constant 2018 Prices</v>
      </c>
      <c r="F750" s="3">
        <v>5.1635774E7</v>
      </c>
    </row>
    <row r="751" ht="15.75" customHeight="1">
      <c r="A751" s="1" t="str">
        <f t="array" ref="A751">INDEX(Reference!$A$2:$A$18, INT((ROW()-2)/(18*3*2)) + 1)</f>
        <v>Central Visayas</v>
      </c>
      <c r="B751" s="2" t="str">
        <f t="array" ref="B751">INDEX(Reference!$C$2:$C$19, MOD(ROW()-2, 18) + 1)</f>
        <v>....Financial and insurance activities</v>
      </c>
      <c r="C751" s="1" t="str">
        <f t="shared" si="1"/>
        <v>Sub</v>
      </c>
      <c r="D751" s="1">
        <f t="shared" si="2"/>
        <v>2024</v>
      </c>
      <c r="E751" s="1" t="str">
        <f t="shared" si="3"/>
        <v>At Constant 2018 Prices</v>
      </c>
      <c r="F751" s="3">
        <v>1.27739274E8</v>
      </c>
    </row>
    <row r="752" ht="15.75" customHeight="1">
      <c r="A752" s="1" t="str">
        <f t="array" ref="A752">INDEX(Reference!$A$2:$A$18, INT((ROW()-2)/(18*3*2)) + 1)</f>
        <v>Central Visayas</v>
      </c>
      <c r="B752" s="2" t="str">
        <f t="array" ref="B752">INDEX(Reference!$C$2:$C$19, MOD(ROW()-2, 18) + 1)</f>
        <v>....Real estate and ownership of dwellings</v>
      </c>
      <c r="C752" s="1" t="str">
        <f t="shared" si="1"/>
        <v>Sub</v>
      </c>
      <c r="D752" s="1">
        <f t="shared" si="2"/>
        <v>2024</v>
      </c>
      <c r="E752" s="1" t="str">
        <f t="shared" si="3"/>
        <v>At Constant 2018 Prices</v>
      </c>
      <c r="F752" s="3">
        <v>1.04719556E8</v>
      </c>
    </row>
    <row r="753" ht="15.75" customHeight="1">
      <c r="A753" s="1" t="str">
        <f t="array" ref="A753">INDEX(Reference!$A$2:$A$18, INT((ROW()-2)/(18*3*2)) + 1)</f>
        <v>Central Visayas</v>
      </c>
      <c r="B753" s="2" t="str">
        <f t="array" ref="B753">INDEX(Reference!$C$2:$C$19, MOD(ROW()-2, 18) + 1)</f>
        <v>....Professional and business services</v>
      </c>
      <c r="C753" s="1" t="str">
        <f t="shared" si="1"/>
        <v>Sub</v>
      </c>
      <c r="D753" s="1">
        <f t="shared" si="2"/>
        <v>2024</v>
      </c>
      <c r="E753" s="1" t="str">
        <f t="shared" si="3"/>
        <v>At Constant 2018 Prices</v>
      </c>
      <c r="F753" s="3">
        <v>9.9769367E7</v>
      </c>
    </row>
    <row r="754" ht="15.75" customHeight="1">
      <c r="A754" s="1" t="str">
        <f t="array" ref="A754">INDEX(Reference!$A$2:$A$18, INT((ROW()-2)/(18*3*2)) + 1)</f>
        <v>Central Visayas</v>
      </c>
      <c r="B754" s="2" t="str">
        <f t="array" ref="B754">INDEX(Reference!$C$2:$C$19, MOD(ROW()-2, 18) + 1)</f>
        <v>....Public administration and defense; compulsory social activities</v>
      </c>
      <c r="C754" s="1" t="str">
        <f t="shared" si="1"/>
        <v>Sub</v>
      </c>
      <c r="D754" s="1">
        <f t="shared" si="2"/>
        <v>2024</v>
      </c>
      <c r="E754" s="1" t="str">
        <f t="shared" si="3"/>
        <v>At Constant 2018 Prices</v>
      </c>
      <c r="F754" s="3">
        <v>3.0448959E7</v>
      </c>
    </row>
    <row r="755" ht="15.75" customHeight="1">
      <c r="A755" s="1" t="str">
        <f t="array" ref="A755">INDEX(Reference!$A$2:$A$18, INT((ROW()-2)/(18*3*2)) + 1)</f>
        <v>Central Visayas</v>
      </c>
      <c r="B755" s="2" t="str">
        <f t="array" ref="B755">INDEX(Reference!$C$2:$C$19, MOD(ROW()-2, 18) + 1)</f>
        <v>....Education</v>
      </c>
      <c r="C755" s="1" t="str">
        <f t="shared" si="1"/>
        <v>Sub</v>
      </c>
      <c r="D755" s="1">
        <f t="shared" si="2"/>
        <v>2024</v>
      </c>
      <c r="E755" s="1" t="str">
        <f t="shared" si="3"/>
        <v>At Constant 2018 Prices</v>
      </c>
      <c r="F755" s="3">
        <v>6.3527108E7</v>
      </c>
    </row>
    <row r="756" ht="15.75" customHeight="1">
      <c r="A756" s="1" t="str">
        <f t="array" ref="A756">INDEX(Reference!$A$2:$A$18, INT((ROW()-2)/(18*3*2)) + 1)</f>
        <v>Central Visayas</v>
      </c>
      <c r="B756" s="2" t="str">
        <f t="array" ref="B756">INDEX(Reference!$C$2:$C$19, MOD(ROW()-2, 18) + 1)</f>
        <v>....Human health and social work activities</v>
      </c>
      <c r="C756" s="1" t="str">
        <f t="shared" si="1"/>
        <v>Sub</v>
      </c>
      <c r="D756" s="1">
        <f t="shared" si="2"/>
        <v>2024</v>
      </c>
      <c r="E756" s="1" t="str">
        <f t="shared" si="3"/>
        <v>At Constant 2018 Prices</v>
      </c>
      <c r="F756" s="3">
        <v>2.0441554E7</v>
      </c>
    </row>
    <row r="757" ht="15.75" customHeight="1">
      <c r="A757" s="1" t="str">
        <f t="array" ref="A757">INDEX(Reference!$A$2:$A$18, INT((ROW()-2)/(18*3*2)) + 1)</f>
        <v>Central Visayas</v>
      </c>
      <c r="B757" s="2" t="str">
        <f t="array" ref="B757">INDEX(Reference!$C$2:$C$19, MOD(ROW()-2, 18) + 1)</f>
        <v>....Other services</v>
      </c>
      <c r="C757" s="1" t="str">
        <f t="shared" si="1"/>
        <v>Sub</v>
      </c>
      <c r="D757" s="1">
        <f t="shared" si="2"/>
        <v>2024</v>
      </c>
      <c r="E757" s="1" t="str">
        <f t="shared" si="3"/>
        <v>At Constant 2018 Prices</v>
      </c>
      <c r="F757" s="3">
        <v>1.6084812E7</v>
      </c>
    </row>
    <row r="758" ht="15.75" customHeight="1">
      <c r="A758" s="1" t="str">
        <f t="array" ref="A758">INDEX(Reference!$A$2:$A$18, INT((ROW()-2)/(18*3*2)) + 1)</f>
        <v>Cordillera Administrative Region</v>
      </c>
      <c r="B758" s="2" t="str">
        <f t="array" ref="B758">INDEX(Reference!$C$2:$C$19, MOD(ROW()-2, 18) + 1)</f>
        <v>..Agriculture, forestry, and fishing</v>
      </c>
      <c r="C758" s="1" t="str">
        <f t="shared" si="1"/>
        <v>Main</v>
      </c>
      <c r="D758" s="1">
        <f t="shared" si="2"/>
        <v>2022</v>
      </c>
      <c r="E758" s="1" t="str">
        <f t="shared" si="3"/>
        <v>At Current Prices</v>
      </c>
      <c r="F758" s="3">
        <v>2.9672963E7</v>
      </c>
    </row>
    <row r="759" ht="15.75" customHeight="1">
      <c r="A759" s="1" t="str">
        <f t="array" ref="A759">INDEX(Reference!$A$2:$A$18, INT((ROW()-2)/(18*3*2)) + 1)</f>
        <v>Cordillera Administrative Region</v>
      </c>
      <c r="B759" s="2" t="str">
        <f t="array" ref="B759">INDEX(Reference!$C$2:$C$19, MOD(ROW()-2, 18) + 1)</f>
        <v>..Industry</v>
      </c>
      <c r="C759" s="1" t="str">
        <f t="shared" si="1"/>
        <v>Main</v>
      </c>
      <c r="D759" s="1">
        <f t="shared" si="2"/>
        <v>2022</v>
      </c>
      <c r="E759" s="1" t="str">
        <f t="shared" si="3"/>
        <v>At Current Prices</v>
      </c>
      <c r="F759" s="3">
        <v>8.8873951E7</v>
      </c>
    </row>
    <row r="760" ht="15.75" customHeight="1">
      <c r="A760" s="1" t="str">
        <f t="array" ref="A760">INDEX(Reference!$A$2:$A$18, INT((ROW()-2)/(18*3*2)) + 1)</f>
        <v>Cordillera Administrative Region</v>
      </c>
      <c r="B760" s="2" t="str">
        <f t="array" ref="B760">INDEX(Reference!$C$2:$C$19, MOD(ROW()-2, 18) + 1)</f>
        <v>....Mining and quarrying</v>
      </c>
      <c r="C760" s="1" t="str">
        <f t="shared" si="1"/>
        <v>Sub</v>
      </c>
      <c r="D760" s="1">
        <f t="shared" si="2"/>
        <v>2022</v>
      </c>
      <c r="E760" s="1" t="str">
        <f t="shared" si="3"/>
        <v>At Current Prices</v>
      </c>
      <c r="F760" s="3">
        <v>1.272453E7</v>
      </c>
    </row>
    <row r="761" ht="15.75" customHeight="1">
      <c r="A761" s="1" t="str">
        <f t="array" ref="A761">INDEX(Reference!$A$2:$A$18, INT((ROW()-2)/(18*3*2)) + 1)</f>
        <v>Cordillera Administrative Region</v>
      </c>
      <c r="B761" s="2" t="str">
        <f t="array" ref="B761">INDEX(Reference!$C$2:$C$19, MOD(ROW()-2, 18) + 1)</f>
        <v>....Manufacturing</v>
      </c>
      <c r="C761" s="1" t="str">
        <f t="shared" si="1"/>
        <v>Sub</v>
      </c>
      <c r="D761" s="1">
        <f t="shared" si="2"/>
        <v>2022</v>
      </c>
      <c r="E761" s="1" t="str">
        <f t="shared" si="3"/>
        <v>At Current Prices</v>
      </c>
      <c r="F761" s="3">
        <v>4.0304676E7</v>
      </c>
    </row>
    <row r="762" ht="15.75" customHeight="1">
      <c r="A762" s="1" t="str">
        <f t="array" ref="A762">INDEX(Reference!$A$2:$A$18, INT((ROW()-2)/(18*3*2)) + 1)</f>
        <v>Cordillera Administrative Region</v>
      </c>
      <c r="B762" s="2" t="str">
        <f t="array" ref="B762">INDEX(Reference!$C$2:$C$19, MOD(ROW()-2, 18) + 1)</f>
        <v>....Electricity, steam, water and waste management</v>
      </c>
      <c r="C762" s="1" t="str">
        <f t="shared" si="1"/>
        <v>Sub</v>
      </c>
      <c r="D762" s="1">
        <f t="shared" si="2"/>
        <v>2022</v>
      </c>
      <c r="E762" s="1" t="str">
        <f t="shared" si="3"/>
        <v>At Current Prices</v>
      </c>
      <c r="F762" s="3">
        <v>6760333.0</v>
      </c>
    </row>
    <row r="763" ht="15.75" customHeight="1">
      <c r="A763" s="1" t="str">
        <f t="array" ref="A763">INDEX(Reference!$A$2:$A$18, INT((ROW()-2)/(18*3*2)) + 1)</f>
        <v>Cordillera Administrative Region</v>
      </c>
      <c r="B763" s="2" t="str">
        <f t="array" ref="B763">INDEX(Reference!$C$2:$C$19, MOD(ROW()-2, 18) + 1)</f>
        <v>....Construction</v>
      </c>
      <c r="C763" s="1" t="str">
        <f t="shared" si="1"/>
        <v>Sub</v>
      </c>
      <c r="D763" s="1">
        <f t="shared" si="2"/>
        <v>2022</v>
      </c>
      <c r="E763" s="1" t="str">
        <f t="shared" si="3"/>
        <v>At Current Prices</v>
      </c>
      <c r="F763" s="3">
        <v>2.9084412E7</v>
      </c>
    </row>
    <row r="764" ht="15.75" customHeight="1">
      <c r="A764" s="1" t="str">
        <f t="array" ref="A764">INDEX(Reference!$A$2:$A$18, INT((ROW()-2)/(18*3*2)) + 1)</f>
        <v>Cordillera Administrative Region</v>
      </c>
      <c r="B764" s="2" t="str">
        <f t="array" ref="B764">INDEX(Reference!$C$2:$C$19, MOD(ROW()-2, 18) + 1)</f>
        <v>..Services</v>
      </c>
      <c r="C764" s="1" t="str">
        <f t="shared" si="1"/>
        <v>Main</v>
      </c>
      <c r="D764" s="1">
        <f t="shared" si="2"/>
        <v>2022</v>
      </c>
      <c r="E764" s="1" t="str">
        <f t="shared" si="3"/>
        <v>At Current Prices</v>
      </c>
      <c r="F764" s="3">
        <v>2.47510937E8</v>
      </c>
    </row>
    <row r="765" ht="15.75" customHeight="1">
      <c r="A765" s="1" t="str">
        <f t="array" ref="A765">INDEX(Reference!$A$2:$A$18, INT((ROW()-2)/(18*3*2)) + 1)</f>
        <v>Cordillera Administrative Region</v>
      </c>
      <c r="B765" s="2" t="str">
        <f t="array" ref="B765">INDEX(Reference!$C$2:$C$19, MOD(ROW()-2, 18) + 1)</f>
        <v>....Wholesale and retail trade; repair of motor vehicles and motorcycles</v>
      </c>
      <c r="C765" s="1" t="str">
        <f t="shared" si="1"/>
        <v>Sub</v>
      </c>
      <c r="D765" s="1">
        <f t="shared" si="2"/>
        <v>2022</v>
      </c>
      <c r="E765" s="1" t="str">
        <f t="shared" si="3"/>
        <v>At Current Prices</v>
      </c>
      <c r="F765" s="3">
        <v>6.4939103E7</v>
      </c>
    </row>
    <row r="766" ht="15.75" customHeight="1">
      <c r="A766" s="1" t="str">
        <f t="array" ref="A766">INDEX(Reference!$A$2:$A$18, INT((ROW()-2)/(18*3*2)) + 1)</f>
        <v>Cordillera Administrative Region</v>
      </c>
      <c r="B766" s="2" t="str">
        <f t="array" ref="B766">INDEX(Reference!$C$2:$C$19, MOD(ROW()-2, 18) + 1)</f>
        <v>....Transportation and storage</v>
      </c>
      <c r="C766" s="1" t="str">
        <f t="shared" si="1"/>
        <v>Sub</v>
      </c>
      <c r="D766" s="1">
        <f t="shared" si="2"/>
        <v>2022</v>
      </c>
      <c r="E766" s="1" t="str">
        <f t="shared" si="3"/>
        <v>At Current Prices</v>
      </c>
      <c r="F766" s="3">
        <v>8949287.0</v>
      </c>
    </row>
    <row r="767" ht="15.75" customHeight="1">
      <c r="A767" s="1" t="str">
        <f t="array" ref="A767">INDEX(Reference!$A$2:$A$18, INT((ROW()-2)/(18*3*2)) + 1)</f>
        <v>Cordillera Administrative Region</v>
      </c>
      <c r="B767" s="2" t="str">
        <f t="array" ref="B767">INDEX(Reference!$C$2:$C$19, MOD(ROW()-2, 18) + 1)</f>
        <v>....Accommodation and food service activities</v>
      </c>
      <c r="C767" s="1" t="str">
        <f t="shared" si="1"/>
        <v>Sub</v>
      </c>
      <c r="D767" s="1">
        <f t="shared" si="2"/>
        <v>2022</v>
      </c>
      <c r="E767" s="1" t="str">
        <f t="shared" si="3"/>
        <v>At Current Prices</v>
      </c>
      <c r="F767" s="3">
        <v>1.8621316E7</v>
      </c>
    </row>
    <row r="768" ht="15.75" customHeight="1">
      <c r="A768" s="1" t="str">
        <f t="array" ref="A768">INDEX(Reference!$A$2:$A$18, INT((ROW()-2)/(18*3*2)) + 1)</f>
        <v>Cordillera Administrative Region</v>
      </c>
      <c r="B768" s="2" t="str">
        <f t="array" ref="B768">INDEX(Reference!$C$2:$C$19, MOD(ROW()-2, 18) + 1)</f>
        <v>....Information and communication</v>
      </c>
      <c r="C768" s="1" t="str">
        <f t="shared" si="1"/>
        <v>Sub</v>
      </c>
      <c r="D768" s="1">
        <f t="shared" si="2"/>
        <v>2022</v>
      </c>
      <c r="E768" s="1" t="str">
        <f t="shared" si="3"/>
        <v>At Current Prices</v>
      </c>
      <c r="F768" s="3">
        <v>1.4751319E7</v>
      </c>
    </row>
    <row r="769" ht="15.75" customHeight="1">
      <c r="A769" s="1" t="str">
        <f t="array" ref="A769">INDEX(Reference!$A$2:$A$18, INT((ROW()-2)/(18*3*2)) + 1)</f>
        <v>Cordillera Administrative Region</v>
      </c>
      <c r="B769" s="2" t="str">
        <f t="array" ref="B769">INDEX(Reference!$C$2:$C$19, MOD(ROW()-2, 18) + 1)</f>
        <v>....Financial and insurance activities</v>
      </c>
      <c r="C769" s="1" t="str">
        <f t="shared" si="1"/>
        <v>Sub</v>
      </c>
      <c r="D769" s="1">
        <f t="shared" si="2"/>
        <v>2022</v>
      </c>
      <c r="E769" s="1" t="str">
        <f t="shared" si="3"/>
        <v>At Current Prices</v>
      </c>
      <c r="F769" s="3">
        <v>4.5404132E7</v>
      </c>
    </row>
    <row r="770" ht="15.75" customHeight="1">
      <c r="A770" s="1" t="str">
        <f t="array" ref="A770">INDEX(Reference!$A$2:$A$18, INT((ROW()-2)/(18*3*2)) + 1)</f>
        <v>Cordillera Administrative Region</v>
      </c>
      <c r="B770" s="2" t="str">
        <f t="array" ref="B770">INDEX(Reference!$C$2:$C$19, MOD(ROW()-2, 18) + 1)</f>
        <v>....Real estate and ownership of dwellings</v>
      </c>
      <c r="C770" s="1" t="str">
        <f t="shared" si="1"/>
        <v>Sub</v>
      </c>
      <c r="D770" s="1">
        <f t="shared" si="2"/>
        <v>2022</v>
      </c>
      <c r="E770" s="1" t="str">
        <f t="shared" si="3"/>
        <v>At Current Prices</v>
      </c>
      <c r="F770" s="3">
        <v>2.5982279E7</v>
      </c>
    </row>
    <row r="771" ht="15.75" customHeight="1">
      <c r="A771" s="1" t="str">
        <f t="array" ref="A771">INDEX(Reference!$A$2:$A$18, INT((ROW()-2)/(18*3*2)) + 1)</f>
        <v>Cordillera Administrative Region</v>
      </c>
      <c r="B771" s="2" t="str">
        <f t="array" ref="B771">INDEX(Reference!$C$2:$C$19, MOD(ROW()-2, 18) + 1)</f>
        <v>....Professional and business services</v>
      </c>
      <c r="C771" s="1" t="str">
        <f t="shared" si="1"/>
        <v>Sub</v>
      </c>
      <c r="D771" s="1">
        <f t="shared" si="2"/>
        <v>2022</v>
      </c>
      <c r="E771" s="1" t="str">
        <f t="shared" si="3"/>
        <v>At Current Prices</v>
      </c>
      <c r="F771" s="3">
        <v>1.9630702E7</v>
      </c>
    </row>
    <row r="772" ht="15.75" customHeight="1">
      <c r="A772" s="1" t="str">
        <f t="array" ref="A772">INDEX(Reference!$A$2:$A$18, INT((ROW()-2)/(18*3*2)) + 1)</f>
        <v>Cordillera Administrative Region</v>
      </c>
      <c r="B772" s="2" t="str">
        <f t="array" ref="B772">INDEX(Reference!$C$2:$C$19, MOD(ROW()-2, 18) + 1)</f>
        <v>....Public administration and defense; compulsory social activities</v>
      </c>
      <c r="C772" s="1" t="str">
        <f t="shared" si="1"/>
        <v>Sub</v>
      </c>
      <c r="D772" s="1">
        <f t="shared" si="2"/>
        <v>2022</v>
      </c>
      <c r="E772" s="1" t="str">
        <f t="shared" si="3"/>
        <v>At Current Prices</v>
      </c>
      <c r="F772" s="3">
        <v>1.3673772E7</v>
      </c>
    </row>
    <row r="773" ht="15.75" customHeight="1">
      <c r="A773" s="1" t="str">
        <f t="array" ref="A773">INDEX(Reference!$A$2:$A$18, INT((ROW()-2)/(18*3*2)) + 1)</f>
        <v>Cordillera Administrative Region</v>
      </c>
      <c r="B773" s="2" t="str">
        <f t="array" ref="B773">INDEX(Reference!$C$2:$C$19, MOD(ROW()-2, 18) + 1)</f>
        <v>....Education</v>
      </c>
      <c r="C773" s="1" t="str">
        <f t="shared" si="1"/>
        <v>Sub</v>
      </c>
      <c r="D773" s="1">
        <f t="shared" si="2"/>
        <v>2022</v>
      </c>
      <c r="E773" s="1" t="str">
        <f t="shared" si="3"/>
        <v>At Current Prices</v>
      </c>
      <c r="F773" s="3">
        <v>2.1419978E7</v>
      </c>
    </row>
    <row r="774" ht="15.75" customHeight="1">
      <c r="A774" s="1" t="str">
        <f t="array" ref="A774">INDEX(Reference!$A$2:$A$18, INT((ROW()-2)/(18*3*2)) + 1)</f>
        <v>Cordillera Administrative Region</v>
      </c>
      <c r="B774" s="2" t="str">
        <f t="array" ref="B774">INDEX(Reference!$C$2:$C$19, MOD(ROW()-2, 18) + 1)</f>
        <v>....Human health and social work activities</v>
      </c>
      <c r="C774" s="1" t="str">
        <f t="shared" si="1"/>
        <v>Sub</v>
      </c>
      <c r="D774" s="1">
        <f t="shared" si="2"/>
        <v>2022</v>
      </c>
      <c r="E774" s="1" t="str">
        <f t="shared" si="3"/>
        <v>At Current Prices</v>
      </c>
      <c r="F774" s="3">
        <v>9274540.0</v>
      </c>
    </row>
    <row r="775" ht="15.75" customHeight="1">
      <c r="A775" s="1" t="str">
        <f t="array" ref="A775">INDEX(Reference!$A$2:$A$18, INT((ROW()-2)/(18*3*2)) + 1)</f>
        <v>Cordillera Administrative Region</v>
      </c>
      <c r="B775" s="2" t="str">
        <f t="array" ref="B775">INDEX(Reference!$C$2:$C$19, MOD(ROW()-2, 18) + 1)</f>
        <v>....Other services</v>
      </c>
      <c r="C775" s="1" t="str">
        <f t="shared" si="1"/>
        <v>Sub</v>
      </c>
      <c r="D775" s="1">
        <f t="shared" si="2"/>
        <v>2022</v>
      </c>
      <c r="E775" s="1" t="str">
        <f t="shared" si="3"/>
        <v>At Current Prices</v>
      </c>
      <c r="F775" s="3">
        <v>4864507.0</v>
      </c>
    </row>
    <row r="776" ht="15.75" customHeight="1">
      <c r="A776" s="1" t="str">
        <f t="array" ref="A776">INDEX(Reference!$A$2:$A$18, INT((ROW()-2)/(18*3*2)) + 1)</f>
        <v>Cordillera Administrative Region</v>
      </c>
      <c r="B776" s="2" t="str">
        <f t="array" ref="B776">INDEX(Reference!$C$2:$C$19, MOD(ROW()-2, 18) + 1)</f>
        <v>..Agriculture, forestry, and fishing</v>
      </c>
      <c r="C776" s="1" t="str">
        <f t="shared" si="1"/>
        <v>Main</v>
      </c>
      <c r="D776" s="1">
        <f t="shared" si="2"/>
        <v>2023</v>
      </c>
      <c r="E776" s="1" t="str">
        <f t="shared" si="3"/>
        <v>At Current Prices</v>
      </c>
      <c r="F776" s="3">
        <v>3.379889E7</v>
      </c>
    </row>
    <row r="777" ht="15.75" customHeight="1">
      <c r="A777" s="1" t="str">
        <f t="array" ref="A777">INDEX(Reference!$A$2:$A$18, INT((ROW()-2)/(18*3*2)) + 1)</f>
        <v>Cordillera Administrative Region</v>
      </c>
      <c r="B777" s="2" t="str">
        <f t="array" ref="B777">INDEX(Reference!$C$2:$C$19, MOD(ROW()-2, 18) + 1)</f>
        <v>..Industry</v>
      </c>
      <c r="C777" s="1" t="str">
        <f t="shared" si="1"/>
        <v>Main</v>
      </c>
      <c r="D777" s="1">
        <f t="shared" si="2"/>
        <v>2023</v>
      </c>
      <c r="E777" s="1" t="str">
        <f t="shared" si="3"/>
        <v>At Current Prices</v>
      </c>
      <c r="F777" s="3">
        <v>9.6096121E7</v>
      </c>
    </row>
    <row r="778" ht="15.75" customHeight="1">
      <c r="A778" s="1" t="str">
        <f t="array" ref="A778">INDEX(Reference!$A$2:$A$18, INT((ROW()-2)/(18*3*2)) + 1)</f>
        <v>Cordillera Administrative Region</v>
      </c>
      <c r="B778" s="2" t="str">
        <f t="array" ref="B778">INDEX(Reference!$C$2:$C$19, MOD(ROW()-2, 18) + 1)</f>
        <v>....Mining and quarrying</v>
      </c>
      <c r="C778" s="1" t="str">
        <f t="shared" si="1"/>
        <v>Sub</v>
      </c>
      <c r="D778" s="1">
        <f t="shared" si="2"/>
        <v>2023</v>
      </c>
      <c r="E778" s="1" t="str">
        <f t="shared" si="3"/>
        <v>At Current Prices</v>
      </c>
      <c r="F778" s="3">
        <v>1.3206701E7</v>
      </c>
    </row>
    <row r="779" ht="15.75" customHeight="1">
      <c r="A779" s="1" t="str">
        <f t="array" ref="A779">INDEX(Reference!$A$2:$A$18, INT((ROW()-2)/(18*3*2)) + 1)</f>
        <v>Cordillera Administrative Region</v>
      </c>
      <c r="B779" s="2" t="str">
        <f t="array" ref="B779">INDEX(Reference!$C$2:$C$19, MOD(ROW()-2, 18) + 1)</f>
        <v>....Manufacturing</v>
      </c>
      <c r="C779" s="1" t="str">
        <f t="shared" si="1"/>
        <v>Sub</v>
      </c>
      <c r="D779" s="1">
        <f t="shared" si="2"/>
        <v>2023</v>
      </c>
      <c r="E779" s="1" t="str">
        <f t="shared" si="3"/>
        <v>At Current Prices</v>
      </c>
      <c r="F779" s="3">
        <v>4.3657235E7</v>
      </c>
    </row>
    <row r="780" ht="15.75" customHeight="1">
      <c r="A780" s="1" t="str">
        <f t="array" ref="A780">INDEX(Reference!$A$2:$A$18, INT((ROW()-2)/(18*3*2)) + 1)</f>
        <v>Cordillera Administrative Region</v>
      </c>
      <c r="B780" s="2" t="str">
        <f t="array" ref="B780">INDEX(Reference!$C$2:$C$19, MOD(ROW()-2, 18) + 1)</f>
        <v>....Electricity, steam, water and waste management</v>
      </c>
      <c r="C780" s="1" t="str">
        <f t="shared" si="1"/>
        <v>Sub</v>
      </c>
      <c r="D780" s="1">
        <f t="shared" si="2"/>
        <v>2023</v>
      </c>
      <c r="E780" s="1" t="str">
        <f t="shared" si="3"/>
        <v>At Current Prices</v>
      </c>
      <c r="F780" s="3">
        <v>7650936.0</v>
      </c>
    </row>
    <row r="781" ht="15.75" customHeight="1">
      <c r="A781" s="1" t="str">
        <f t="array" ref="A781">INDEX(Reference!$A$2:$A$18, INT((ROW()-2)/(18*3*2)) + 1)</f>
        <v>Cordillera Administrative Region</v>
      </c>
      <c r="B781" s="2" t="str">
        <f t="array" ref="B781">INDEX(Reference!$C$2:$C$19, MOD(ROW()-2, 18) + 1)</f>
        <v>....Construction</v>
      </c>
      <c r="C781" s="1" t="str">
        <f t="shared" si="1"/>
        <v>Sub</v>
      </c>
      <c r="D781" s="1">
        <f t="shared" si="2"/>
        <v>2023</v>
      </c>
      <c r="E781" s="1" t="str">
        <f t="shared" si="3"/>
        <v>At Current Prices</v>
      </c>
      <c r="F781" s="3">
        <v>3.158125E7</v>
      </c>
    </row>
    <row r="782" ht="15.75" customHeight="1">
      <c r="A782" s="1" t="str">
        <f t="array" ref="A782">INDEX(Reference!$A$2:$A$18, INT((ROW()-2)/(18*3*2)) + 1)</f>
        <v>Cordillera Administrative Region</v>
      </c>
      <c r="B782" s="2" t="str">
        <f t="array" ref="B782">INDEX(Reference!$C$2:$C$19, MOD(ROW()-2, 18) + 1)</f>
        <v>..Services</v>
      </c>
      <c r="C782" s="1" t="str">
        <f t="shared" si="1"/>
        <v>Main</v>
      </c>
      <c r="D782" s="1">
        <f t="shared" si="2"/>
        <v>2023</v>
      </c>
      <c r="E782" s="1" t="str">
        <f t="shared" si="3"/>
        <v>At Current Prices</v>
      </c>
      <c r="F782" s="3">
        <v>2.80184719E8</v>
      </c>
    </row>
    <row r="783" ht="15.75" customHeight="1">
      <c r="A783" s="1" t="str">
        <f t="array" ref="A783">INDEX(Reference!$A$2:$A$18, INT((ROW()-2)/(18*3*2)) + 1)</f>
        <v>Cordillera Administrative Region</v>
      </c>
      <c r="B783" s="2" t="str">
        <f t="array" ref="B783">INDEX(Reference!$C$2:$C$19, MOD(ROW()-2, 18) + 1)</f>
        <v>....Wholesale and retail trade; repair of motor vehicles and motorcycles</v>
      </c>
      <c r="C783" s="1" t="str">
        <f t="shared" si="1"/>
        <v>Sub</v>
      </c>
      <c r="D783" s="1">
        <f t="shared" si="2"/>
        <v>2023</v>
      </c>
      <c r="E783" s="1" t="str">
        <f t="shared" si="3"/>
        <v>At Current Prices</v>
      </c>
      <c r="F783" s="3">
        <v>7.3463184E7</v>
      </c>
    </row>
    <row r="784" ht="15.75" customHeight="1">
      <c r="A784" s="1" t="str">
        <f t="array" ref="A784">INDEX(Reference!$A$2:$A$18, INT((ROW()-2)/(18*3*2)) + 1)</f>
        <v>Cordillera Administrative Region</v>
      </c>
      <c r="B784" s="2" t="str">
        <f t="array" ref="B784">INDEX(Reference!$C$2:$C$19, MOD(ROW()-2, 18) + 1)</f>
        <v>....Transportation and storage</v>
      </c>
      <c r="C784" s="1" t="str">
        <f t="shared" si="1"/>
        <v>Sub</v>
      </c>
      <c r="D784" s="1">
        <f t="shared" si="2"/>
        <v>2023</v>
      </c>
      <c r="E784" s="1" t="str">
        <f t="shared" si="3"/>
        <v>At Current Prices</v>
      </c>
      <c r="F784" s="3">
        <v>1.2322875E7</v>
      </c>
    </row>
    <row r="785" ht="15.75" customHeight="1">
      <c r="A785" s="1" t="str">
        <f t="array" ref="A785">INDEX(Reference!$A$2:$A$18, INT((ROW()-2)/(18*3*2)) + 1)</f>
        <v>Cordillera Administrative Region</v>
      </c>
      <c r="B785" s="2" t="str">
        <f t="array" ref="B785">INDEX(Reference!$C$2:$C$19, MOD(ROW()-2, 18) + 1)</f>
        <v>....Accommodation and food service activities</v>
      </c>
      <c r="C785" s="1" t="str">
        <f t="shared" si="1"/>
        <v>Sub</v>
      </c>
      <c r="D785" s="1">
        <f t="shared" si="2"/>
        <v>2023</v>
      </c>
      <c r="E785" s="1" t="str">
        <f t="shared" si="3"/>
        <v>At Current Prices</v>
      </c>
      <c r="F785" s="3">
        <v>2.5036139E7</v>
      </c>
    </row>
    <row r="786" ht="15.75" customHeight="1">
      <c r="A786" s="1" t="str">
        <f t="array" ref="A786">INDEX(Reference!$A$2:$A$18, INT((ROW()-2)/(18*3*2)) + 1)</f>
        <v>Cordillera Administrative Region</v>
      </c>
      <c r="B786" s="2" t="str">
        <f t="array" ref="B786">INDEX(Reference!$C$2:$C$19, MOD(ROW()-2, 18) + 1)</f>
        <v>....Information and communication</v>
      </c>
      <c r="C786" s="1" t="str">
        <f t="shared" si="1"/>
        <v>Sub</v>
      </c>
      <c r="D786" s="1">
        <f t="shared" si="2"/>
        <v>2023</v>
      </c>
      <c r="E786" s="1" t="str">
        <f t="shared" si="3"/>
        <v>At Current Prices</v>
      </c>
      <c r="F786" s="3">
        <v>1.5561023E7</v>
      </c>
    </row>
    <row r="787" ht="15.75" customHeight="1">
      <c r="A787" s="1" t="str">
        <f t="array" ref="A787">INDEX(Reference!$A$2:$A$18, INT((ROW()-2)/(18*3*2)) + 1)</f>
        <v>Cordillera Administrative Region</v>
      </c>
      <c r="B787" s="2" t="str">
        <f t="array" ref="B787">INDEX(Reference!$C$2:$C$19, MOD(ROW()-2, 18) + 1)</f>
        <v>....Financial and insurance activities</v>
      </c>
      <c r="C787" s="1" t="str">
        <f t="shared" si="1"/>
        <v>Sub</v>
      </c>
      <c r="D787" s="1">
        <f t="shared" si="2"/>
        <v>2023</v>
      </c>
      <c r="E787" s="1" t="str">
        <f t="shared" si="3"/>
        <v>At Current Prices</v>
      </c>
      <c r="F787" s="3">
        <v>5.0141759E7</v>
      </c>
    </row>
    <row r="788" ht="15.75" customHeight="1">
      <c r="A788" s="1" t="str">
        <f t="array" ref="A788">INDEX(Reference!$A$2:$A$18, INT((ROW()-2)/(18*3*2)) + 1)</f>
        <v>Cordillera Administrative Region</v>
      </c>
      <c r="B788" s="2" t="str">
        <f t="array" ref="B788">INDEX(Reference!$C$2:$C$19, MOD(ROW()-2, 18) + 1)</f>
        <v>....Real estate and ownership of dwellings</v>
      </c>
      <c r="C788" s="1" t="str">
        <f t="shared" si="1"/>
        <v>Sub</v>
      </c>
      <c r="D788" s="1">
        <f t="shared" si="2"/>
        <v>2023</v>
      </c>
      <c r="E788" s="1" t="str">
        <f t="shared" si="3"/>
        <v>At Current Prices</v>
      </c>
      <c r="F788" s="3">
        <v>2.7804043E7</v>
      </c>
    </row>
    <row r="789" ht="15.75" customHeight="1">
      <c r="A789" s="1" t="str">
        <f t="array" ref="A789">INDEX(Reference!$A$2:$A$18, INT((ROW()-2)/(18*3*2)) + 1)</f>
        <v>Cordillera Administrative Region</v>
      </c>
      <c r="B789" s="2" t="str">
        <f t="array" ref="B789">INDEX(Reference!$C$2:$C$19, MOD(ROW()-2, 18) + 1)</f>
        <v>....Professional and business services</v>
      </c>
      <c r="C789" s="1" t="str">
        <f t="shared" si="1"/>
        <v>Sub</v>
      </c>
      <c r="D789" s="1">
        <f t="shared" si="2"/>
        <v>2023</v>
      </c>
      <c r="E789" s="1" t="str">
        <f t="shared" si="3"/>
        <v>At Current Prices</v>
      </c>
      <c r="F789" s="3">
        <v>2.1903616E7</v>
      </c>
    </row>
    <row r="790" ht="15.75" customHeight="1">
      <c r="A790" s="1" t="str">
        <f t="array" ref="A790">INDEX(Reference!$A$2:$A$18, INT((ROW()-2)/(18*3*2)) + 1)</f>
        <v>Cordillera Administrative Region</v>
      </c>
      <c r="B790" s="2" t="str">
        <f t="array" ref="B790">INDEX(Reference!$C$2:$C$19, MOD(ROW()-2, 18) + 1)</f>
        <v>....Public administration and defense; compulsory social activities</v>
      </c>
      <c r="C790" s="1" t="str">
        <f t="shared" si="1"/>
        <v>Sub</v>
      </c>
      <c r="D790" s="1">
        <f t="shared" si="2"/>
        <v>2023</v>
      </c>
      <c r="E790" s="1" t="str">
        <f t="shared" si="3"/>
        <v>At Current Prices</v>
      </c>
      <c r="F790" s="3">
        <v>1.4109881E7</v>
      </c>
    </row>
    <row r="791" ht="15.75" customHeight="1">
      <c r="A791" s="1" t="str">
        <f t="array" ref="A791">INDEX(Reference!$A$2:$A$18, INT((ROW()-2)/(18*3*2)) + 1)</f>
        <v>Cordillera Administrative Region</v>
      </c>
      <c r="B791" s="2" t="str">
        <f t="array" ref="B791">INDEX(Reference!$C$2:$C$19, MOD(ROW()-2, 18) + 1)</f>
        <v>....Education</v>
      </c>
      <c r="C791" s="1" t="str">
        <f t="shared" si="1"/>
        <v>Sub</v>
      </c>
      <c r="D791" s="1">
        <f t="shared" si="2"/>
        <v>2023</v>
      </c>
      <c r="E791" s="1" t="str">
        <f t="shared" si="3"/>
        <v>At Current Prices</v>
      </c>
      <c r="F791" s="3">
        <v>2.3202099E7</v>
      </c>
    </row>
    <row r="792" ht="15.75" customHeight="1">
      <c r="A792" s="1" t="str">
        <f t="array" ref="A792">INDEX(Reference!$A$2:$A$18, INT((ROW()-2)/(18*3*2)) + 1)</f>
        <v>Cordillera Administrative Region</v>
      </c>
      <c r="B792" s="2" t="str">
        <f t="array" ref="B792">INDEX(Reference!$C$2:$C$19, MOD(ROW()-2, 18) + 1)</f>
        <v>....Human health and social work activities</v>
      </c>
      <c r="C792" s="1" t="str">
        <f t="shared" si="1"/>
        <v>Sub</v>
      </c>
      <c r="D792" s="1">
        <f t="shared" si="2"/>
        <v>2023</v>
      </c>
      <c r="E792" s="1" t="str">
        <f t="shared" si="3"/>
        <v>At Current Prices</v>
      </c>
      <c r="F792" s="3">
        <v>9998397.0</v>
      </c>
    </row>
    <row r="793" ht="15.75" customHeight="1">
      <c r="A793" s="1" t="str">
        <f t="array" ref="A793">INDEX(Reference!$A$2:$A$18, INT((ROW()-2)/(18*3*2)) + 1)</f>
        <v>Cordillera Administrative Region</v>
      </c>
      <c r="B793" s="2" t="str">
        <f t="array" ref="B793">INDEX(Reference!$C$2:$C$19, MOD(ROW()-2, 18) + 1)</f>
        <v>....Other services</v>
      </c>
      <c r="C793" s="1" t="str">
        <f t="shared" si="1"/>
        <v>Sub</v>
      </c>
      <c r="D793" s="1">
        <f t="shared" si="2"/>
        <v>2023</v>
      </c>
      <c r="E793" s="1" t="str">
        <f t="shared" si="3"/>
        <v>At Current Prices</v>
      </c>
      <c r="F793" s="3">
        <v>6641701.0</v>
      </c>
    </row>
    <row r="794" ht="15.75" customHeight="1">
      <c r="A794" s="1" t="str">
        <f t="array" ref="A794">INDEX(Reference!$A$2:$A$18, INT((ROW()-2)/(18*3*2)) + 1)</f>
        <v>Cordillera Administrative Region</v>
      </c>
      <c r="B794" s="2" t="str">
        <f t="array" ref="B794">INDEX(Reference!$C$2:$C$19, MOD(ROW()-2, 18) + 1)</f>
        <v>..Agriculture, forestry, and fishing</v>
      </c>
      <c r="C794" s="1" t="str">
        <f t="shared" si="1"/>
        <v>Main</v>
      </c>
      <c r="D794" s="1">
        <f t="shared" si="2"/>
        <v>2024</v>
      </c>
      <c r="E794" s="1" t="str">
        <f t="shared" si="3"/>
        <v>At Current Prices</v>
      </c>
      <c r="F794" s="3">
        <v>3.5739904E7</v>
      </c>
    </row>
    <row r="795" ht="15.75" customHeight="1">
      <c r="A795" s="1" t="str">
        <f t="array" ref="A795">INDEX(Reference!$A$2:$A$18, INT((ROW()-2)/(18*3*2)) + 1)</f>
        <v>Cordillera Administrative Region</v>
      </c>
      <c r="B795" s="2" t="str">
        <f t="array" ref="B795">INDEX(Reference!$C$2:$C$19, MOD(ROW()-2, 18) + 1)</f>
        <v>..Industry</v>
      </c>
      <c r="C795" s="1" t="str">
        <f t="shared" si="1"/>
        <v>Main</v>
      </c>
      <c r="D795" s="1">
        <f t="shared" si="2"/>
        <v>2024</v>
      </c>
      <c r="E795" s="1" t="str">
        <f t="shared" si="3"/>
        <v>At Current Prices</v>
      </c>
      <c r="F795" s="3">
        <v>9.9833326E7</v>
      </c>
    </row>
    <row r="796" ht="15.75" customHeight="1">
      <c r="A796" s="1" t="str">
        <f t="array" ref="A796">INDEX(Reference!$A$2:$A$18, INT((ROW()-2)/(18*3*2)) + 1)</f>
        <v>Cordillera Administrative Region</v>
      </c>
      <c r="B796" s="2" t="str">
        <f t="array" ref="B796">INDEX(Reference!$C$2:$C$19, MOD(ROW()-2, 18) + 1)</f>
        <v>....Mining and quarrying</v>
      </c>
      <c r="C796" s="1" t="str">
        <f t="shared" si="1"/>
        <v>Sub</v>
      </c>
      <c r="D796" s="1">
        <f t="shared" si="2"/>
        <v>2024</v>
      </c>
      <c r="E796" s="1" t="str">
        <f t="shared" si="3"/>
        <v>At Current Prices</v>
      </c>
      <c r="F796" s="3">
        <v>1.47591E7</v>
      </c>
    </row>
    <row r="797" ht="15.75" customHeight="1">
      <c r="A797" s="1" t="str">
        <f t="array" ref="A797">INDEX(Reference!$A$2:$A$18, INT((ROW()-2)/(18*3*2)) + 1)</f>
        <v>Cordillera Administrative Region</v>
      </c>
      <c r="B797" s="2" t="str">
        <f t="array" ref="B797">INDEX(Reference!$C$2:$C$19, MOD(ROW()-2, 18) + 1)</f>
        <v>....Manufacturing</v>
      </c>
      <c r="C797" s="1" t="str">
        <f t="shared" si="1"/>
        <v>Sub</v>
      </c>
      <c r="D797" s="1">
        <f t="shared" si="2"/>
        <v>2024</v>
      </c>
      <c r="E797" s="1" t="str">
        <f t="shared" si="3"/>
        <v>At Current Prices</v>
      </c>
      <c r="F797" s="3">
        <v>4.5556554E7</v>
      </c>
    </row>
    <row r="798" ht="15.75" customHeight="1">
      <c r="A798" s="1" t="str">
        <f t="array" ref="A798">INDEX(Reference!$A$2:$A$18, INT((ROW()-2)/(18*3*2)) + 1)</f>
        <v>Cordillera Administrative Region</v>
      </c>
      <c r="B798" s="2" t="str">
        <f t="array" ref="B798">INDEX(Reference!$C$2:$C$19, MOD(ROW()-2, 18) + 1)</f>
        <v>....Electricity, steam, water and waste management</v>
      </c>
      <c r="C798" s="1" t="str">
        <f t="shared" si="1"/>
        <v>Sub</v>
      </c>
      <c r="D798" s="1">
        <f t="shared" si="2"/>
        <v>2024</v>
      </c>
      <c r="E798" s="1" t="str">
        <f t="shared" si="3"/>
        <v>At Current Prices</v>
      </c>
      <c r="F798" s="3">
        <v>8265336.0</v>
      </c>
    </row>
    <row r="799" ht="15.75" customHeight="1">
      <c r="A799" s="1" t="str">
        <f t="array" ref="A799">INDEX(Reference!$A$2:$A$18, INT((ROW()-2)/(18*3*2)) + 1)</f>
        <v>Cordillera Administrative Region</v>
      </c>
      <c r="B799" s="2" t="str">
        <f t="array" ref="B799">INDEX(Reference!$C$2:$C$19, MOD(ROW()-2, 18) + 1)</f>
        <v>....Construction</v>
      </c>
      <c r="C799" s="1" t="str">
        <f t="shared" si="1"/>
        <v>Sub</v>
      </c>
      <c r="D799" s="1">
        <f t="shared" si="2"/>
        <v>2024</v>
      </c>
      <c r="E799" s="1" t="str">
        <f t="shared" si="3"/>
        <v>At Current Prices</v>
      </c>
      <c r="F799" s="3">
        <v>3.1252336E7</v>
      </c>
    </row>
    <row r="800" ht="15.75" customHeight="1">
      <c r="A800" s="1" t="str">
        <f t="array" ref="A800">INDEX(Reference!$A$2:$A$18, INT((ROW()-2)/(18*3*2)) + 1)</f>
        <v>Cordillera Administrative Region</v>
      </c>
      <c r="B800" s="2" t="str">
        <f t="array" ref="B800">INDEX(Reference!$C$2:$C$19, MOD(ROW()-2, 18) + 1)</f>
        <v>..Services</v>
      </c>
      <c r="C800" s="1" t="str">
        <f t="shared" si="1"/>
        <v>Main</v>
      </c>
      <c r="D800" s="1">
        <f t="shared" si="2"/>
        <v>2024</v>
      </c>
      <c r="E800" s="1" t="str">
        <f t="shared" si="3"/>
        <v>At Current Prices</v>
      </c>
      <c r="F800" s="3">
        <v>3.09950734E8</v>
      </c>
    </row>
    <row r="801" ht="15.75" customHeight="1">
      <c r="A801" s="1" t="str">
        <f t="array" ref="A801">INDEX(Reference!$A$2:$A$18, INT((ROW()-2)/(18*3*2)) + 1)</f>
        <v>Cordillera Administrative Region</v>
      </c>
      <c r="B801" s="2" t="str">
        <f t="array" ref="B801">INDEX(Reference!$C$2:$C$19, MOD(ROW()-2, 18) + 1)</f>
        <v>....Wholesale and retail trade; repair of motor vehicles and motorcycles</v>
      </c>
      <c r="C801" s="1" t="str">
        <f t="shared" si="1"/>
        <v>Sub</v>
      </c>
      <c r="D801" s="1">
        <f t="shared" si="2"/>
        <v>2024</v>
      </c>
      <c r="E801" s="1" t="str">
        <f t="shared" si="3"/>
        <v>At Current Prices</v>
      </c>
      <c r="F801" s="3">
        <v>7.9822439E7</v>
      </c>
    </row>
    <row r="802" ht="15.75" customHeight="1">
      <c r="A802" s="1" t="str">
        <f t="array" ref="A802">INDEX(Reference!$A$2:$A$18, INT((ROW()-2)/(18*3*2)) + 1)</f>
        <v>Cordillera Administrative Region</v>
      </c>
      <c r="B802" s="2" t="str">
        <f t="array" ref="B802">INDEX(Reference!$C$2:$C$19, MOD(ROW()-2, 18) + 1)</f>
        <v>....Transportation and storage</v>
      </c>
      <c r="C802" s="1" t="str">
        <f t="shared" si="1"/>
        <v>Sub</v>
      </c>
      <c r="D802" s="1">
        <f t="shared" si="2"/>
        <v>2024</v>
      </c>
      <c r="E802" s="1" t="str">
        <f t="shared" si="3"/>
        <v>At Current Prices</v>
      </c>
      <c r="F802" s="3">
        <v>1.3472056E7</v>
      </c>
    </row>
    <row r="803" ht="15.75" customHeight="1">
      <c r="A803" s="1" t="str">
        <f t="array" ref="A803">INDEX(Reference!$A$2:$A$18, INT((ROW()-2)/(18*3*2)) + 1)</f>
        <v>Cordillera Administrative Region</v>
      </c>
      <c r="B803" s="2" t="str">
        <f t="array" ref="B803">INDEX(Reference!$C$2:$C$19, MOD(ROW()-2, 18) + 1)</f>
        <v>....Accommodation and food service activities</v>
      </c>
      <c r="C803" s="1" t="str">
        <f t="shared" si="1"/>
        <v>Sub</v>
      </c>
      <c r="D803" s="1">
        <f t="shared" si="2"/>
        <v>2024</v>
      </c>
      <c r="E803" s="1" t="str">
        <f t="shared" si="3"/>
        <v>At Current Prices</v>
      </c>
      <c r="F803" s="3">
        <v>2.8110896E7</v>
      </c>
    </row>
    <row r="804" ht="15.75" customHeight="1">
      <c r="A804" s="1" t="str">
        <f t="array" ref="A804">INDEX(Reference!$A$2:$A$18, INT((ROW()-2)/(18*3*2)) + 1)</f>
        <v>Cordillera Administrative Region</v>
      </c>
      <c r="B804" s="2" t="str">
        <f t="array" ref="B804">INDEX(Reference!$C$2:$C$19, MOD(ROW()-2, 18) + 1)</f>
        <v>....Information and communication</v>
      </c>
      <c r="C804" s="1" t="str">
        <f t="shared" si="1"/>
        <v>Sub</v>
      </c>
      <c r="D804" s="1">
        <f t="shared" si="2"/>
        <v>2024</v>
      </c>
      <c r="E804" s="1" t="str">
        <f t="shared" si="3"/>
        <v>At Current Prices</v>
      </c>
      <c r="F804" s="3">
        <v>1.6275802E7</v>
      </c>
    </row>
    <row r="805" ht="15.75" customHeight="1">
      <c r="A805" s="1" t="str">
        <f t="array" ref="A805">INDEX(Reference!$A$2:$A$18, INT((ROW()-2)/(18*3*2)) + 1)</f>
        <v>Cordillera Administrative Region</v>
      </c>
      <c r="B805" s="2" t="str">
        <f t="array" ref="B805">INDEX(Reference!$C$2:$C$19, MOD(ROW()-2, 18) + 1)</f>
        <v>....Financial and insurance activities</v>
      </c>
      <c r="C805" s="1" t="str">
        <f t="shared" si="1"/>
        <v>Sub</v>
      </c>
      <c r="D805" s="1">
        <f t="shared" si="2"/>
        <v>2024</v>
      </c>
      <c r="E805" s="1" t="str">
        <f t="shared" si="3"/>
        <v>At Current Prices</v>
      </c>
      <c r="F805" s="3">
        <v>5.6912915E7</v>
      </c>
    </row>
    <row r="806" ht="15.75" customHeight="1">
      <c r="A806" s="1" t="str">
        <f t="array" ref="A806">INDEX(Reference!$A$2:$A$18, INT((ROW()-2)/(18*3*2)) + 1)</f>
        <v>Cordillera Administrative Region</v>
      </c>
      <c r="B806" s="2" t="str">
        <f t="array" ref="B806">INDEX(Reference!$C$2:$C$19, MOD(ROW()-2, 18) + 1)</f>
        <v>....Real estate and ownership of dwellings</v>
      </c>
      <c r="C806" s="1" t="str">
        <f t="shared" si="1"/>
        <v>Sub</v>
      </c>
      <c r="D806" s="1">
        <f t="shared" si="2"/>
        <v>2024</v>
      </c>
      <c r="E806" s="1" t="str">
        <f t="shared" si="3"/>
        <v>At Current Prices</v>
      </c>
      <c r="F806" s="3">
        <v>2.9771155E7</v>
      </c>
    </row>
    <row r="807" ht="15.75" customHeight="1">
      <c r="A807" s="1" t="str">
        <f t="array" ref="A807">INDEX(Reference!$A$2:$A$18, INT((ROW()-2)/(18*3*2)) + 1)</f>
        <v>Cordillera Administrative Region</v>
      </c>
      <c r="B807" s="2" t="str">
        <f t="array" ref="B807">INDEX(Reference!$C$2:$C$19, MOD(ROW()-2, 18) + 1)</f>
        <v>....Professional and business services</v>
      </c>
      <c r="C807" s="1" t="str">
        <f t="shared" si="1"/>
        <v>Sub</v>
      </c>
      <c r="D807" s="1">
        <f t="shared" si="2"/>
        <v>2024</v>
      </c>
      <c r="E807" s="1" t="str">
        <f t="shared" si="3"/>
        <v>At Current Prices</v>
      </c>
      <c r="F807" s="3">
        <v>2.5627391E7</v>
      </c>
    </row>
    <row r="808" ht="15.75" customHeight="1">
      <c r="A808" s="1" t="str">
        <f t="array" ref="A808">INDEX(Reference!$A$2:$A$18, INT((ROW()-2)/(18*3*2)) + 1)</f>
        <v>Cordillera Administrative Region</v>
      </c>
      <c r="B808" s="2" t="str">
        <f t="array" ref="B808">INDEX(Reference!$C$2:$C$19, MOD(ROW()-2, 18) + 1)</f>
        <v>....Public administration and defense; compulsory social activities</v>
      </c>
      <c r="C808" s="1" t="str">
        <f t="shared" si="1"/>
        <v>Sub</v>
      </c>
      <c r="D808" s="1">
        <f t="shared" si="2"/>
        <v>2024</v>
      </c>
      <c r="E808" s="1" t="str">
        <f t="shared" si="3"/>
        <v>At Current Prices</v>
      </c>
      <c r="F808" s="3">
        <v>1.540135E7</v>
      </c>
    </row>
    <row r="809" ht="15.75" customHeight="1">
      <c r="A809" s="1" t="str">
        <f t="array" ref="A809">INDEX(Reference!$A$2:$A$18, INT((ROW()-2)/(18*3*2)) + 1)</f>
        <v>Cordillera Administrative Region</v>
      </c>
      <c r="B809" s="2" t="str">
        <f t="array" ref="B809">INDEX(Reference!$C$2:$C$19, MOD(ROW()-2, 18) + 1)</f>
        <v>....Education</v>
      </c>
      <c r="C809" s="1" t="str">
        <f t="shared" si="1"/>
        <v>Sub</v>
      </c>
      <c r="D809" s="1">
        <f t="shared" si="2"/>
        <v>2024</v>
      </c>
      <c r="E809" s="1" t="str">
        <f t="shared" si="3"/>
        <v>At Current Prices</v>
      </c>
      <c r="F809" s="3">
        <v>2.5469374E7</v>
      </c>
    </row>
    <row r="810" ht="15.75" customHeight="1">
      <c r="A810" s="1" t="str">
        <f t="array" ref="A810">INDEX(Reference!$A$2:$A$18, INT((ROW()-2)/(18*3*2)) + 1)</f>
        <v>Cordillera Administrative Region</v>
      </c>
      <c r="B810" s="2" t="str">
        <f t="array" ref="B810">INDEX(Reference!$C$2:$C$19, MOD(ROW()-2, 18) + 1)</f>
        <v>....Human health and social work activities</v>
      </c>
      <c r="C810" s="1" t="str">
        <f t="shared" si="1"/>
        <v>Sub</v>
      </c>
      <c r="D810" s="1">
        <f t="shared" si="2"/>
        <v>2024</v>
      </c>
      <c r="E810" s="1" t="str">
        <f t="shared" si="3"/>
        <v>At Current Prices</v>
      </c>
      <c r="F810" s="3">
        <v>1.1493971E7</v>
      </c>
    </row>
    <row r="811" ht="15.75" customHeight="1">
      <c r="A811" s="1" t="str">
        <f t="array" ref="A811">INDEX(Reference!$A$2:$A$18, INT((ROW()-2)/(18*3*2)) + 1)</f>
        <v>Cordillera Administrative Region</v>
      </c>
      <c r="B811" s="2" t="str">
        <f t="array" ref="B811">INDEX(Reference!$C$2:$C$19, MOD(ROW()-2, 18) + 1)</f>
        <v>....Other services</v>
      </c>
      <c r="C811" s="1" t="str">
        <f t="shared" si="1"/>
        <v>Sub</v>
      </c>
      <c r="D811" s="1">
        <f t="shared" si="2"/>
        <v>2024</v>
      </c>
      <c r="E811" s="1" t="str">
        <f t="shared" si="3"/>
        <v>At Current Prices</v>
      </c>
      <c r="F811" s="3">
        <v>7593386.0</v>
      </c>
    </row>
    <row r="812" ht="15.75" customHeight="1">
      <c r="A812" s="1" t="str">
        <f t="array" ref="A812">INDEX(Reference!$A$2:$A$18, INT((ROW()-2)/(18*3*2)) + 1)</f>
        <v>Cordillera Administrative Region</v>
      </c>
      <c r="B812" s="2" t="str">
        <f t="array" ref="B812">INDEX(Reference!$C$2:$C$19, MOD(ROW()-2, 18) + 1)</f>
        <v>..Agriculture, forestry, and fishing</v>
      </c>
      <c r="C812" s="1" t="str">
        <f t="shared" si="1"/>
        <v>Main</v>
      </c>
      <c r="D812" s="1">
        <f t="shared" si="2"/>
        <v>2022</v>
      </c>
      <c r="E812" s="1" t="str">
        <f t="shared" si="3"/>
        <v>At Constant 2018 Prices</v>
      </c>
      <c r="F812" s="3">
        <v>2.8121885E7</v>
      </c>
    </row>
    <row r="813" ht="15.75" customHeight="1">
      <c r="A813" s="1" t="str">
        <f t="array" ref="A813">INDEX(Reference!$A$2:$A$18, INT((ROW()-2)/(18*3*2)) + 1)</f>
        <v>Cordillera Administrative Region</v>
      </c>
      <c r="B813" s="2" t="str">
        <f t="array" ref="B813">INDEX(Reference!$C$2:$C$19, MOD(ROW()-2, 18) + 1)</f>
        <v>..Industry</v>
      </c>
      <c r="C813" s="1" t="str">
        <f t="shared" si="1"/>
        <v>Main</v>
      </c>
      <c r="D813" s="1">
        <f t="shared" si="2"/>
        <v>2022</v>
      </c>
      <c r="E813" s="1" t="str">
        <f t="shared" si="3"/>
        <v>At Constant 2018 Prices</v>
      </c>
      <c r="F813" s="3">
        <v>8.3898456E7</v>
      </c>
    </row>
    <row r="814" ht="15.75" customHeight="1">
      <c r="A814" s="1" t="str">
        <f t="array" ref="A814">INDEX(Reference!$A$2:$A$18, INT((ROW()-2)/(18*3*2)) + 1)</f>
        <v>Cordillera Administrative Region</v>
      </c>
      <c r="B814" s="2" t="str">
        <f t="array" ref="B814">INDEX(Reference!$C$2:$C$19, MOD(ROW()-2, 18) + 1)</f>
        <v>....Mining and quarrying</v>
      </c>
      <c r="C814" s="1" t="str">
        <f t="shared" si="1"/>
        <v>Sub</v>
      </c>
      <c r="D814" s="1">
        <f t="shared" si="2"/>
        <v>2022</v>
      </c>
      <c r="E814" s="1" t="str">
        <f t="shared" si="3"/>
        <v>At Constant 2018 Prices</v>
      </c>
      <c r="F814" s="3">
        <v>9490041.0</v>
      </c>
    </row>
    <row r="815" ht="15.75" customHeight="1">
      <c r="A815" s="1" t="str">
        <f t="array" ref="A815">INDEX(Reference!$A$2:$A$18, INT((ROW()-2)/(18*3*2)) + 1)</f>
        <v>Cordillera Administrative Region</v>
      </c>
      <c r="B815" s="2" t="str">
        <f t="array" ref="B815">INDEX(Reference!$C$2:$C$19, MOD(ROW()-2, 18) + 1)</f>
        <v>....Manufacturing</v>
      </c>
      <c r="C815" s="1" t="str">
        <f t="shared" si="1"/>
        <v>Sub</v>
      </c>
      <c r="D815" s="1">
        <f t="shared" si="2"/>
        <v>2022</v>
      </c>
      <c r="E815" s="1" t="str">
        <f t="shared" si="3"/>
        <v>At Constant 2018 Prices</v>
      </c>
      <c r="F815" s="3">
        <v>4.3144774E7</v>
      </c>
    </row>
    <row r="816" ht="15.75" customHeight="1">
      <c r="A816" s="1" t="str">
        <f t="array" ref="A816">INDEX(Reference!$A$2:$A$18, INT((ROW()-2)/(18*3*2)) + 1)</f>
        <v>Cordillera Administrative Region</v>
      </c>
      <c r="B816" s="2" t="str">
        <f t="array" ref="B816">INDEX(Reference!$C$2:$C$19, MOD(ROW()-2, 18) + 1)</f>
        <v>....Electricity, steam, water and waste management</v>
      </c>
      <c r="C816" s="1" t="str">
        <f t="shared" si="1"/>
        <v>Sub</v>
      </c>
      <c r="D816" s="1">
        <f t="shared" si="2"/>
        <v>2022</v>
      </c>
      <c r="E816" s="1" t="str">
        <f t="shared" si="3"/>
        <v>At Constant 2018 Prices</v>
      </c>
      <c r="F816" s="3">
        <v>5733788.0</v>
      </c>
    </row>
    <row r="817" ht="15.75" customHeight="1">
      <c r="A817" s="1" t="str">
        <f t="array" ref="A817">INDEX(Reference!$A$2:$A$18, INT((ROW()-2)/(18*3*2)) + 1)</f>
        <v>Cordillera Administrative Region</v>
      </c>
      <c r="B817" s="2" t="str">
        <f t="array" ref="B817">INDEX(Reference!$C$2:$C$19, MOD(ROW()-2, 18) + 1)</f>
        <v>....Construction</v>
      </c>
      <c r="C817" s="1" t="str">
        <f t="shared" si="1"/>
        <v>Sub</v>
      </c>
      <c r="D817" s="1">
        <f t="shared" si="2"/>
        <v>2022</v>
      </c>
      <c r="E817" s="1" t="str">
        <f t="shared" si="3"/>
        <v>At Constant 2018 Prices</v>
      </c>
      <c r="F817" s="3">
        <v>2.5529852E7</v>
      </c>
    </row>
    <row r="818" ht="15.75" customHeight="1">
      <c r="A818" s="1" t="str">
        <f t="array" ref="A818">INDEX(Reference!$A$2:$A$18, INT((ROW()-2)/(18*3*2)) + 1)</f>
        <v>Cordillera Administrative Region</v>
      </c>
      <c r="B818" s="2" t="str">
        <f t="array" ref="B818">INDEX(Reference!$C$2:$C$19, MOD(ROW()-2, 18) + 1)</f>
        <v>..Services</v>
      </c>
      <c r="C818" s="1" t="str">
        <f t="shared" si="1"/>
        <v>Main</v>
      </c>
      <c r="D818" s="1">
        <f t="shared" si="2"/>
        <v>2022</v>
      </c>
      <c r="E818" s="1" t="str">
        <f t="shared" si="3"/>
        <v>At Constant 2018 Prices</v>
      </c>
      <c r="F818" s="3">
        <v>2.25732715E8</v>
      </c>
    </row>
    <row r="819" ht="15.75" customHeight="1">
      <c r="A819" s="1" t="str">
        <f t="array" ref="A819">INDEX(Reference!$A$2:$A$18, INT((ROW()-2)/(18*3*2)) + 1)</f>
        <v>Cordillera Administrative Region</v>
      </c>
      <c r="B819" s="2" t="str">
        <f t="array" ref="B819">INDEX(Reference!$C$2:$C$19, MOD(ROW()-2, 18) + 1)</f>
        <v>....Wholesale and retail trade; repair of motor vehicles and motorcycles</v>
      </c>
      <c r="C819" s="1" t="str">
        <f t="shared" si="1"/>
        <v>Sub</v>
      </c>
      <c r="D819" s="1">
        <f t="shared" si="2"/>
        <v>2022</v>
      </c>
      <c r="E819" s="1" t="str">
        <f t="shared" si="3"/>
        <v>At Constant 2018 Prices</v>
      </c>
      <c r="F819" s="3">
        <v>6.0251011E7</v>
      </c>
    </row>
    <row r="820" ht="15.75" customHeight="1">
      <c r="A820" s="1" t="str">
        <f t="array" ref="A820">INDEX(Reference!$A$2:$A$18, INT((ROW()-2)/(18*3*2)) + 1)</f>
        <v>Cordillera Administrative Region</v>
      </c>
      <c r="B820" s="2" t="str">
        <f t="array" ref="B820">INDEX(Reference!$C$2:$C$19, MOD(ROW()-2, 18) + 1)</f>
        <v>....Transportation and storage</v>
      </c>
      <c r="C820" s="1" t="str">
        <f t="shared" si="1"/>
        <v>Sub</v>
      </c>
      <c r="D820" s="1">
        <f t="shared" si="2"/>
        <v>2022</v>
      </c>
      <c r="E820" s="1" t="str">
        <f t="shared" si="3"/>
        <v>At Constant 2018 Prices</v>
      </c>
      <c r="F820" s="3">
        <v>8131780.0</v>
      </c>
    </row>
    <row r="821" ht="15.75" customHeight="1">
      <c r="A821" s="1" t="str">
        <f t="array" ref="A821">INDEX(Reference!$A$2:$A$18, INT((ROW()-2)/(18*3*2)) + 1)</f>
        <v>Cordillera Administrative Region</v>
      </c>
      <c r="B821" s="2" t="str">
        <f t="array" ref="B821">INDEX(Reference!$C$2:$C$19, MOD(ROW()-2, 18) + 1)</f>
        <v>....Accommodation and food service activities</v>
      </c>
      <c r="C821" s="1" t="str">
        <f t="shared" si="1"/>
        <v>Sub</v>
      </c>
      <c r="D821" s="1">
        <f t="shared" si="2"/>
        <v>2022</v>
      </c>
      <c r="E821" s="1" t="str">
        <f t="shared" si="3"/>
        <v>At Constant 2018 Prices</v>
      </c>
      <c r="F821" s="3">
        <v>1.6863887E7</v>
      </c>
    </row>
    <row r="822" ht="15.75" customHeight="1">
      <c r="A822" s="1" t="str">
        <f t="array" ref="A822">INDEX(Reference!$A$2:$A$18, INT((ROW()-2)/(18*3*2)) + 1)</f>
        <v>Cordillera Administrative Region</v>
      </c>
      <c r="B822" s="2" t="str">
        <f t="array" ref="B822">INDEX(Reference!$C$2:$C$19, MOD(ROW()-2, 18) + 1)</f>
        <v>....Information and communication</v>
      </c>
      <c r="C822" s="1" t="str">
        <f t="shared" si="1"/>
        <v>Sub</v>
      </c>
      <c r="D822" s="1">
        <f t="shared" si="2"/>
        <v>2022</v>
      </c>
      <c r="E822" s="1" t="str">
        <f t="shared" si="3"/>
        <v>At Constant 2018 Prices</v>
      </c>
      <c r="F822" s="3">
        <v>1.4312502E7</v>
      </c>
    </row>
    <row r="823" ht="15.75" customHeight="1">
      <c r="A823" s="1" t="str">
        <f t="array" ref="A823">INDEX(Reference!$A$2:$A$18, INT((ROW()-2)/(18*3*2)) + 1)</f>
        <v>Cordillera Administrative Region</v>
      </c>
      <c r="B823" s="2" t="str">
        <f t="array" ref="B823">INDEX(Reference!$C$2:$C$19, MOD(ROW()-2, 18) + 1)</f>
        <v>....Financial and insurance activities</v>
      </c>
      <c r="C823" s="1" t="str">
        <f t="shared" si="1"/>
        <v>Sub</v>
      </c>
      <c r="D823" s="1">
        <f t="shared" si="2"/>
        <v>2022</v>
      </c>
      <c r="E823" s="1" t="str">
        <f t="shared" si="3"/>
        <v>At Constant 2018 Prices</v>
      </c>
      <c r="F823" s="3">
        <v>4.0013525E7</v>
      </c>
    </row>
    <row r="824" ht="15.75" customHeight="1">
      <c r="A824" s="1" t="str">
        <f t="array" ref="A824">INDEX(Reference!$A$2:$A$18, INT((ROW()-2)/(18*3*2)) + 1)</f>
        <v>Cordillera Administrative Region</v>
      </c>
      <c r="B824" s="2" t="str">
        <f t="array" ref="B824">INDEX(Reference!$C$2:$C$19, MOD(ROW()-2, 18) + 1)</f>
        <v>....Real estate and ownership of dwellings</v>
      </c>
      <c r="C824" s="1" t="str">
        <f t="shared" si="1"/>
        <v>Sub</v>
      </c>
      <c r="D824" s="1">
        <f t="shared" si="2"/>
        <v>2022</v>
      </c>
      <c r="E824" s="1" t="str">
        <f t="shared" si="3"/>
        <v>At Constant 2018 Prices</v>
      </c>
      <c r="F824" s="3">
        <v>2.3376485E7</v>
      </c>
    </row>
    <row r="825" ht="15.75" customHeight="1">
      <c r="A825" s="1" t="str">
        <f t="array" ref="A825">INDEX(Reference!$A$2:$A$18, INT((ROW()-2)/(18*3*2)) + 1)</f>
        <v>Cordillera Administrative Region</v>
      </c>
      <c r="B825" s="2" t="str">
        <f t="array" ref="B825">INDEX(Reference!$C$2:$C$19, MOD(ROW()-2, 18) + 1)</f>
        <v>....Professional and business services</v>
      </c>
      <c r="C825" s="1" t="str">
        <f t="shared" si="1"/>
        <v>Sub</v>
      </c>
      <c r="D825" s="1">
        <f t="shared" si="2"/>
        <v>2022</v>
      </c>
      <c r="E825" s="1" t="str">
        <f t="shared" si="3"/>
        <v>At Constant 2018 Prices</v>
      </c>
      <c r="F825" s="3">
        <v>1.9381203E7</v>
      </c>
    </row>
    <row r="826" ht="15.75" customHeight="1">
      <c r="A826" s="1" t="str">
        <f t="array" ref="A826">INDEX(Reference!$A$2:$A$18, INT((ROW()-2)/(18*3*2)) + 1)</f>
        <v>Cordillera Administrative Region</v>
      </c>
      <c r="B826" s="2" t="str">
        <f t="array" ref="B826">INDEX(Reference!$C$2:$C$19, MOD(ROW()-2, 18) + 1)</f>
        <v>....Public administration and defense; compulsory social activities</v>
      </c>
      <c r="C826" s="1" t="str">
        <f t="shared" si="1"/>
        <v>Sub</v>
      </c>
      <c r="D826" s="1">
        <f t="shared" si="2"/>
        <v>2022</v>
      </c>
      <c r="E826" s="1" t="str">
        <f t="shared" si="3"/>
        <v>At Constant 2018 Prices</v>
      </c>
      <c r="F826" s="3">
        <v>1.2253375E7</v>
      </c>
    </row>
    <row r="827" ht="15.75" customHeight="1">
      <c r="A827" s="1" t="str">
        <f t="array" ref="A827">INDEX(Reference!$A$2:$A$18, INT((ROW()-2)/(18*3*2)) + 1)</f>
        <v>Cordillera Administrative Region</v>
      </c>
      <c r="B827" s="2" t="str">
        <f t="array" ref="B827">INDEX(Reference!$C$2:$C$19, MOD(ROW()-2, 18) + 1)</f>
        <v>....Education</v>
      </c>
      <c r="C827" s="1" t="str">
        <f t="shared" si="1"/>
        <v>Sub</v>
      </c>
      <c r="D827" s="1">
        <f t="shared" si="2"/>
        <v>2022</v>
      </c>
      <c r="E827" s="1" t="str">
        <f t="shared" si="3"/>
        <v>At Constant 2018 Prices</v>
      </c>
      <c r="F827" s="3">
        <v>1.8764978E7</v>
      </c>
    </row>
    <row r="828" ht="15.75" customHeight="1">
      <c r="A828" s="1" t="str">
        <f t="array" ref="A828">INDEX(Reference!$A$2:$A$18, INT((ROW()-2)/(18*3*2)) + 1)</f>
        <v>Cordillera Administrative Region</v>
      </c>
      <c r="B828" s="2" t="str">
        <f t="array" ref="B828">INDEX(Reference!$C$2:$C$19, MOD(ROW()-2, 18) + 1)</f>
        <v>....Human health and social work activities</v>
      </c>
      <c r="C828" s="1" t="str">
        <f t="shared" si="1"/>
        <v>Sub</v>
      </c>
      <c r="D828" s="1">
        <f t="shared" si="2"/>
        <v>2022</v>
      </c>
      <c r="E828" s="1" t="str">
        <f t="shared" si="3"/>
        <v>At Constant 2018 Prices</v>
      </c>
      <c r="F828" s="3">
        <v>8110928.0</v>
      </c>
    </row>
    <row r="829" ht="15.75" customHeight="1">
      <c r="A829" s="1" t="str">
        <f t="array" ref="A829">INDEX(Reference!$A$2:$A$18, INT((ROW()-2)/(18*3*2)) + 1)</f>
        <v>Cordillera Administrative Region</v>
      </c>
      <c r="B829" s="2" t="str">
        <f t="array" ref="B829">INDEX(Reference!$C$2:$C$19, MOD(ROW()-2, 18) + 1)</f>
        <v>....Other services</v>
      </c>
      <c r="C829" s="1" t="str">
        <f t="shared" si="1"/>
        <v>Sub</v>
      </c>
      <c r="D829" s="1">
        <f t="shared" si="2"/>
        <v>2022</v>
      </c>
      <c r="E829" s="1" t="str">
        <f t="shared" si="3"/>
        <v>At Constant 2018 Prices</v>
      </c>
      <c r="F829" s="3">
        <v>4273041.0</v>
      </c>
    </row>
    <row r="830" ht="15.75" customHeight="1">
      <c r="A830" s="1" t="str">
        <f t="array" ref="A830">INDEX(Reference!$A$2:$A$18, INT((ROW()-2)/(18*3*2)) + 1)</f>
        <v>Cordillera Administrative Region</v>
      </c>
      <c r="B830" s="2" t="str">
        <f t="array" ref="B830">INDEX(Reference!$C$2:$C$19, MOD(ROW()-2, 18) + 1)</f>
        <v>..Agriculture, forestry, and fishing</v>
      </c>
      <c r="C830" s="1" t="str">
        <f t="shared" si="1"/>
        <v>Main</v>
      </c>
      <c r="D830" s="1">
        <f t="shared" si="2"/>
        <v>2023</v>
      </c>
      <c r="E830" s="1" t="str">
        <f t="shared" si="3"/>
        <v>At Constant 2018 Prices</v>
      </c>
      <c r="F830" s="3">
        <v>2.7785684E7</v>
      </c>
    </row>
    <row r="831" ht="15.75" customHeight="1">
      <c r="A831" s="1" t="str">
        <f t="array" ref="A831">INDEX(Reference!$A$2:$A$18, INT((ROW()-2)/(18*3*2)) + 1)</f>
        <v>Cordillera Administrative Region</v>
      </c>
      <c r="B831" s="2" t="str">
        <f t="array" ref="B831">INDEX(Reference!$C$2:$C$19, MOD(ROW()-2, 18) + 1)</f>
        <v>..Industry</v>
      </c>
      <c r="C831" s="1" t="str">
        <f t="shared" si="1"/>
        <v>Main</v>
      </c>
      <c r="D831" s="1">
        <f t="shared" si="2"/>
        <v>2023</v>
      </c>
      <c r="E831" s="1" t="str">
        <f t="shared" si="3"/>
        <v>At Constant 2018 Prices</v>
      </c>
      <c r="F831" s="3">
        <v>8.74201E7</v>
      </c>
    </row>
    <row r="832" ht="15.75" customHeight="1">
      <c r="A832" s="1" t="str">
        <f t="array" ref="A832">INDEX(Reference!$A$2:$A$18, INT((ROW()-2)/(18*3*2)) + 1)</f>
        <v>Cordillera Administrative Region</v>
      </c>
      <c r="B832" s="2" t="str">
        <f t="array" ref="B832">INDEX(Reference!$C$2:$C$19, MOD(ROW()-2, 18) + 1)</f>
        <v>....Mining and quarrying</v>
      </c>
      <c r="C832" s="1" t="str">
        <f t="shared" si="1"/>
        <v>Sub</v>
      </c>
      <c r="D832" s="1">
        <f t="shared" si="2"/>
        <v>2023</v>
      </c>
      <c r="E832" s="1" t="str">
        <f t="shared" si="3"/>
        <v>At Constant 2018 Prices</v>
      </c>
      <c r="F832" s="3">
        <v>9333588.0</v>
      </c>
    </row>
    <row r="833" ht="15.75" customHeight="1">
      <c r="A833" s="1" t="str">
        <f t="array" ref="A833">INDEX(Reference!$A$2:$A$18, INT((ROW()-2)/(18*3*2)) + 1)</f>
        <v>Cordillera Administrative Region</v>
      </c>
      <c r="B833" s="2" t="str">
        <f t="array" ref="B833">INDEX(Reference!$C$2:$C$19, MOD(ROW()-2, 18) + 1)</f>
        <v>....Manufacturing</v>
      </c>
      <c r="C833" s="1" t="str">
        <f t="shared" si="1"/>
        <v>Sub</v>
      </c>
      <c r="D833" s="1">
        <f t="shared" si="2"/>
        <v>2023</v>
      </c>
      <c r="E833" s="1" t="str">
        <f t="shared" si="3"/>
        <v>At Constant 2018 Prices</v>
      </c>
      <c r="F833" s="3">
        <v>4.5637257E7</v>
      </c>
    </row>
    <row r="834" ht="15.75" customHeight="1">
      <c r="A834" s="1" t="str">
        <f t="array" ref="A834">INDEX(Reference!$A$2:$A$18, INT((ROW()-2)/(18*3*2)) + 1)</f>
        <v>Cordillera Administrative Region</v>
      </c>
      <c r="B834" s="2" t="str">
        <f t="array" ref="B834">INDEX(Reference!$C$2:$C$19, MOD(ROW()-2, 18) + 1)</f>
        <v>....Electricity, steam, water and waste management</v>
      </c>
      <c r="C834" s="1" t="str">
        <f t="shared" si="1"/>
        <v>Sub</v>
      </c>
      <c r="D834" s="1">
        <f t="shared" si="2"/>
        <v>2023</v>
      </c>
      <c r="E834" s="1" t="str">
        <f t="shared" si="3"/>
        <v>At Constant 2018 Prices</v>
      </c>
      <c r="F834" s="3">
        <v>6195922.0</v>
      </c>
    </row>
    <row r="835" ht="15.75" customHeight="1">
      <c r="A835" s="1" t="str">
        <f t="array" ref="A835">INDEX(Reference!$A$2:$A$18, INT((ROW()-2)/(18*3*2)) + 1)</f>
        <v>Cordillera Administrative Region</v>
      </c>
      <c r="B835" s="2" t="str">
        <f t="array" ref="B835">INDEX(Reference!$C$2:$C$19, MOD(ROW()-2, 18) + 1)</f>
        <v>....Construction</v>
      </c>
      <c r="C835" s="1" t="str">
        <f t="shared" si="1"/>
        <v>Sub</v>
      </c>
      <c r="D835" s="1">
        <f t="shared" si="2"/>
        <v>2023</v>
      </c>
      <c r="E835" s="1" t="str">
        <f t="shared" si="3"/>
        <v>At Constant 2018 Prices</v>
      </c>
      <c r="F835" s="3">
        <v>2.6253333E7</v>
      </c>
    </row>
    <row r="836" ht="15.75" customHeight="1">
      <c r="A836" s="1" t="str">
        <f t="array" ref="A836">INDEX(Reference!$A$2:$A$18, INT((ROW()-2)/(18*3*2)) + 1)</f>
        <v>Cordillera Administrative Region</v>
      </c>
      <c r="B836" s="2" t="str">
        <f t="array" ref="B836">INDEX(Reference!$C$2:$C$19, MOD(ROW()-2, 18) + 1)</f>
        <v>..Services</v>
      </c>
      <c r="C836" s="1" t="str">
        <f t="shared" si="1"/>
        <v>Main</v>
      </c>
      <c r="D836" s="1">
        <f t="shared" si="2"/>
        <v>2023</v>
      </c>
      <c r="E836" s="1" t="str">
        <f t="shared" si="3"/>
        <v>At Constant 2018 Prices</v>
      </c>
      <c r="F836" s="3">
        <v>2.4569076E8</v>
      </c>
    </row>
    <row r="837" ht="15.75" customHeight="1">
      <c r="A837" s="1" t="str">
        <f t="array" ref="A837">INDEX(Reference!$A$2:$A$18, INT((ROW()-2)/(18*3*2)) + 1)</f>
        <v>Cordillera Administrative Region</v>
      </c>
      <c r="B837" s="2" t="str">
        <f t="array" ref="B837">INDEX(Reference!$C$2:$C$19, MOD(ROW()-2, 18) + 1)</f>
        <v>....Wholesale and retail trade; repair of motor vehicles and motorcycles</v>
      </c>
      <c r="C837" s="1" t="str">
        <f t="shared" si="1"/>
        <v>Sub</v>
      </c>
      <c r="D837" s="1">
        <f t="shared" si="2"/>
        <v>2023</v>
      </c>
      <c r="E837" s="1" t="str">
        <f t="shared" si="3"/>
        <v>At Constant 2018 Prices</v>
      </c>
      <c r="F837" s="3">
        <v>6.5064041E7</v>
      </c>
    </row>
    <row r="838" ht="15.75" customHeight="1">
      <c r="A838" s="1" t="str">
        <f t="array" ref="A838">INDEX(Reference!$A$2:$A$18, INT((ROW()-2)/(18*3*2)) + 1)</f>
        <v>Cordillera Administrative Region</v>
      </c>
      <c r="B838" s="2" t="str">
        <f t="array" ref="B838">INDEX(Reference!$C$2:$C$19, MOD(ROW()-2, 18) + 1)</f>
        <v>....Transportation and storage</v>
      </c>
      <c r="C838" s="1" t="str">
        <f t="shared" si="1"/>
        <v>Sub</v>
      </c>
      <c r="D838" s="1">
        <f t="shared" si="2"/>
        <v>2023</v>
      </c>
      <c r="E838" s="1" t="str">
        <f t="shared" si="3"/>
        <v>At Constant 2018 Prices</v>
      </c>
      <c r="F838" s="3">
        <v>1.0219377E7</v>
      </c>
    </row>
    <row r="839" ht="15.75" customHeight="1">
      <c r="A839" s="1" t="str">
        <f t="array" ref="A839">INDEX(Reference!$A$2:$A$18, INT((ROW()-2)/(18*3*2)) + 1)</f>
        <v>Cordillera Administrative Region</v>
      </c>
      <c r="B839" s="2" t="str">
        <f t="array" ref="B839">INDEX(Reference!$C$2:$C$19, MOD(ROW()-2, 18) + 1)</f>
        <v>....Accommodation and food service activities</v>
      </c>
      <c r="C839" s="1" t="str">
        <f t="shared" si="1"/>
        <v>Sub</v>
      </c>
      <c r="D839" s="1">
        <f t="shared" si="2"/>
        <v>2023</v>
      </c>
      <c r="E839" s="1" t="str">
        <f t="shared" si="3"/>
        <v>At Constant 2018 Prices</v>
      </c>
      <c r="F839" s="3">
        <v>2.2041963E7</v>
      </c>
    </row>
    <row r="840" ht="15.75" customHeight="1">
      <c r="A840" s="1" t="str">
        <f t="array" ref="A840">INDEX(Reference!$A$2:$A$18, INT((ROW()-2)/(18*3*2)) + 1)</f>
        <v>Cordillera Administrative Region</v>
      </c>
      <c r="B840" s="2" t="str">
        <f t="array" ref="B840">INDEX(Reference!$C$2:$C$19, MOD(ROW()-2, 18) + 1)</f>
        <v>....Information and communication</v>
      </c>
      <c r="C840" s="1" t="str">
        <f t="shared" si="1"/>
        <v>Sub</v>
      </c>
      <c r="D840" s="1">
        <f t="shared" si="2"/>
        <v>2023</v>
      </c>
      <c r="E840" s="1" t="str">
        <f t="shared" si="3"/>
        <v>At Constant 2018 Prices</v>
      </c>
      <c r="F840" s="3">
        <v>1.4991553E7</v>
      </c>
    </row>
    <row r="841" ht="15.75" customHeight="1">
      <c r="A841" s="1" t="str">
        <f t="array" ref="A841">INDEX(Reference!$A$2:$A$18, INT((ROW()-2)/(18*3*2)) + 1)</f>
        <v>Cordillera Administrative Region</v>
      </c>
      <c r="B841" s="2" t="str">
        <f t="array" ref="B841">INDEX(Reference!$C$2:$C$19, MOD(ROW()-2, 18) + 1)</f>
        <v>....Financial and insurance activities</v>
      </c>
      <c r="C841" s="1" t="str">
        <f t="shared" si="1"/>
        <v>Sub</v>
      </c>
      <c r="D841" s="1">
        <f t="shared" si="2"/>
        <v>2023</v>
      </c>
      <c r="E841" s="1" t="str">
        <f t="shared" si="3"/>
        <v>At Constant 2018 Prices</v>
      </c>
      <c r="F841" s="3">
        <v>4.2319097E7</v>
      </c>
    </row>
    <row r="842" ht="15.75" customHeight="1">
      <c r="A842" s="1" t="str">
        <f t="array" ref="A842">INDEX(Reference!$A$2:$A$18, INT((ROW()-2)/(18*3*2)) + 1)</f>
        <v>Cordillera Administrative Region</v>
      </c>
      <c r="B842" s="2" t="str">
        <f t="array" ref="B842">INDEX(Reference!$C$2:$C$19, MOD(ROW()-2, 18) + 1)</f>
        <v>....Real estate and ownership of dwellings</v>
      </c>
      <c r="C842" s="1" t="str">
        <f t="shared" si="1"/>
        <v>Sub</v>
      </c>
      <c r="D842" s="1">
        <f t="shared" si="2"/>
        <v>2023</v>
      </c>
      <c r="E842" s="1" t="str">
        <f t="shared" si="3"/>
        <v>At Constant 2018 Prices</v>
      </c>
      <c r="F842" s="3">
        <v>2.4414221E7</v>
      </c>
    </row>
    <row r="843" ht="15.75" customHeight="1">
      <c r="A843" s="1" t="str">
        <f t="array" ref="A843">INDEX(Reference!$A$2:$A$18, INT((ROW()-2)/(18*3*2)) + 1)</f>
        <v>Cordillera Administrative Region</v>
      </c>
      <c r="B843" s="2" t="str">
        <f t="array" ref="B843">INDEX(Reference!$C$2:$C$19, MOD(ROW()-2, 18) + 1)</f>
        <v>....Professional and business services</v>
      </c>
      <c r="C843" s="1" t="str">
        <f t="shared" si="1"/>
        <v>Sub</v>
      </c>
      <c r="D843" s="1">
        <f t="shared" si="2"/>
        <v>2023</v>
      </c>
      <c r="E843" s="1" t="str">
        <f t="shared" si="3"/>
        <v>At Constant 2018 Prices</v>
      </c>
      <c r="F843" s="3">
        <v>2.0879758E7</v>
      </c>
    </row>
    <row r="844" ht="15.75" customHeight="1">
      <c r="A844" s="1" t="str">
        <f t="array" ref="A844">INDEX(Reference!$A$2:$A$18, INT((ROW()-2)/(18*3*2)) + 1)</f>
        <v>Cordillera Administrative Region</v>
      </c>
      <c r="B844" s="2" t="str">
        <f t="array" ref="B844">INDEX(Reference!$C$2:$C$19, MOD(ROW()-2, 18) + 1)</f>
        <v>....Public administration and defense; compulsory social activities</v>
      </c>
      <c r="C844" s="1" t="str">
        <f t="shared" si="1"/>
        <v>Sub</v>
      </c>
      <c r="D844" s="1">
        <f t="shared" si="2"/>
        <v>2023</v>
      </c>
      <c r="E844" s="1" t="str">
        <f t="shared" si="3"/>
        <v>At Constant 2018 Prices</v>
      </c>
      <c r="F844" s="3">
        <v>1.2164051E7</v>
      </c>
    </row>
    <row r="845" ht="15.75" customHeight="1">
      <c r="A845" s="1" t="str">
        <f t="array" ref="A845">INDEX(Reference!$A$2:$A$18, INT((ROW()-2)/(18*3*2)) + 1)</f>
        <v>Cordillera Administrative Region</v>
      </c>
      <c r="B845" s="2" t="str">
        <f t="array" ref="B845">INDEX(Reference!$C$2:$C$19, MOD(ROW()-2, 18) + 1)</f>
        <v>....Education</v>
      </c>
      <c r="C845" s="1" t="str">
        <f t="shared" si="1"/>
        <v>Sub</v>
      </c>
      <c r="D845" s="1">
        <f t="shared" si="2"/>
        <v>2023</v>
      </c>
      <c r="E845" s="1" t="str">
        <f t="shared" si="3"/>
        <v>At Constant 2018 Prices</v>
      </c>
      <c r="F845" s="3">
        <v>1.96217E7</v>
      </c>
    </row>
    <row r="846" ht="15.75" customHeight="1">
      <c r="A846" s="1" t="str">
        <f t="array" ref="A846">INDEX(Reference!$A$2:$A$18, INT((ROW()-2)/(18*3*2)) + 1)</f>
        <v>Cordillera Administrative Region</v>
      </c>
      <c r="B846" s="2" t="str">
        <f t="array" ref="B846">INDEX(Reference!$C$2:$C$19, MOD(ROW()-2, 18) + 1)</f>
        <v>....Human health and social work activities</v>
      </c>
      <c r="C846" s="1" t="str">
        <f t="shared" si="1"/>
        <v>Sub</v>
      </c>
      <c r="D846" s="1">
        <f t="shared" si="2"/>
        <v>2023</v>
      </c>
      <c r="E846" s="1" t="str">
        <f t="shared" si="3"/>
        <v>At Constant 2018 Prices</v>
      </c>
      <c r="F846" s="3">
        <v>8406061.0</v>
      </c>
    </row>
    <row r="847" ht="15.75" customHeight="1">
      <c r="A847" s="1" t="str">
        <f t="array" ref="A847">INDEX(Reference!$A$2:$A$18, INT((ROW()-2)/(18*3*2)) + 1)</f>
        <v>Cordillera Administrative Region</v>
      </c>
      <c r="B847" s="2" t="str">
        <f t="array" ref="B847">INDEX(Reference!$C$2:$C$19, MOD(ROW()-2, 18) + 1)</f>
        <v>....Other services</v>
      </c>
      <c r="C847" s="1" t="str">
        <f t="shared" si="1"/>
        <v>Sub</v>
      </c>
      <c r="D847" s="1">
        <f t="shared" si="2"/>
        <v>2023</v>
      </c>
      <c r="E847" s="1" t="str">
        <f t="shared" si="3"/>
        <v>At Constant 2018 Prices</v>
      </c>
      <c r="F847" s="3">
        <v>5568939.0</v>
      </c>
    </row>
    <row r="848" ht="15.75" customHeight="1">
      <c r="A848" s="1" t="str">
        <f t="array" ref="A848">INDEX(Reference!$A$2:$A$18, INT((ROW()-2)/(18*3*2)) + 1)</f>
        <v>Cordillera Administrative Region</v>
      </c>
      <c r="B848" s="2" t="str">
        <f t="array" ref="B848">INDEX(Reference!$C$2:$C$19, MOD(ROW()-2, 18) + 1)</f>
        <v>..Agriculture, forestry, and fishing</v>
      </c>
      <c r="C848" s="1" t="str">
        <f t="shared" si="1"/>
        <v>Main</v>
      </c>
      <c r="D848" s="1">
        <f t="shared" si="2"/>
        <v>2024</v>
      </c>
      <c r="E848" s="1" t="str">
        <f t="shared" si="3"/>
        <v>At Constant 2018 Prices</v>
      </c>
      <c r="F848" s="3">
        <v>2.8094112E7</v>
      </c>
    </row>
    <row r="849" ht="15.75" customHeight="1">
      <c r="A849" s="1" t="str">
        <f t="array" ref="A849">INDEX(Reference!$A$2:$A$18, INT((ROW()-2)/(18*3*2)) + 1)</f>
        <v>Cordillera Administrative Region</v>
      </c>
      <c r="B849" s="2" t="str">
        <f t="array" ref="B849">INDEX(Reference!$C$2:$C$19, MOD(ROW()-2, 18) + 1)</f>
        <v>..Industry</v>
      </c>
      <c r="C849" s="1" t="str">
        <f t="shared" si="1"/>
        <v>Main</v>
      </c>
      <c r="D849" s="1">
        <f t="shared" si="2"/>
        <v>2024</v>
      </c>
      <c r="E849" s="1" t="str">
        <f t="shared" si="3"/>
        <v>At Constant 2018 Prices</v>
      </c>
      <c r="F849" s="3">
        <v>8.768483E7</v>
      </c>
    </row>
    <row r="850" ht="15.75" customHeight="1">
      <c r="A850" s="1" t="str">
        <f t="array" ref="A850">INDEX(Reference!$A$2:$A$18, INT((ROW()-2)/(18*3*2)) + 1)</f>
        <v>Cordillera Administrative Region</v>
      </c>
      <c r="B850" s="2" t="str">
        <f t="array" ref="B850">INDEX(Reference!$C$2:$C$19, MOD(ROW()-2, 18) + 1)</f>
        <v>....Mining and quarrying</v>
      </c>
      <c r="C850" s="1" t="str">
        <f t="shared" si="1"/>
        <v>Sub</v>
      </c>
      <c r="D850" s="1">
        <f t="shared" si="2"/>
        <v>2024</v>
      </c>
      <c r="E850" s="1" t="str">
        <f t="shared" si="3"/>
        <v>At Constant 2018 Prices</v>
      </c>
      <c r="F850" s="3">
        <v>9135499.0</v>
      </c>
    </row>
    <row r="851" ht="15.75" customHeight="1">
      <c r="A851" s="1" t="str">
        <f t="array" ref="A851">INDEX(Reference!$A$2:$A$18, INT((ROW()-2)/(18*3*2)) + 1)</f>
        <v>Cordillera Administrative Region</v>
      </c>
      <c r="B851" s="2" t="str">
        <f t="array" ref="B851">INDEX(Reference!$C$2:$C$19, MOD(ROW()-2, 18) + 1)</f>
        <v>....Manufacturing</v>
      </c>
      <c r="C851" s="1" t="str">
        <f t="shared" si="1"/>
        <v>Sub</v>
      </c>
      <c r="D851" s="1">
        <f t="shared" si="2"/>
        <v>2024</v>
      </c>
      <c r="E851" s="1" t="str">
        <f t="shared" si="3"/>
        <v>At Constant 2018 Prices</v>
      </c>
      <c r="F851" s="3">
        <v>4.6394228E7</v>
      </c>
    </row>
    <row r="852" ht="15.75" customHeight="1">
      <c r="A852" s="1" t="str">
        <f t="array" ref="A852">INDEX(Reference!$A$2:$A$18, INT((ROW()-2)/(18*3*2)) + 1)</f>
        <v>Cordillera Administrative Region</v>
      </c>
      <c r="B852" s="2" t="str">
        <f t="array" ref="B852">INDEX(Reference!$C$2:$C$19, MOD(ROW()-2, 18) + 1)</f>
        <v>....Electricity, steam, water and waste management</v>
      </c>
      <c r="C852" s="1" t="str">
        <f t="shared" si="1"/>
        <v>Sub</v>
      </c>
      <c r="D852" s="1">
        <f t="shared" si="2"/>
        <v>2024</v>
      </c>
      <c r="E852" s="1" t="str">
        <f t="shared" si="3"/>
        <v>At Constant 2018 Prices</v>
      </c>
      <c r="F852" s="3">
        <v>6622962.0</v>
      </c>
    </row>
    <row r="853" ht="15.75" customHeight="1">
      <c r="A853" s="1" t="str">
        <f t="array" ref="A853">INDEX(Reference!$A$2:$A$18, INT((ROW()-2)/(18*3*2)) + 1)</f>
        <v>Cordillera Administrative Region</v>
      </c>
      <c r="B853" s="2" t="str">
        <f t="array" ref="B853">INDEX(Reference!$C$2:$C$19, MOD(ROW()-2, 18) + 1)</f>
        <v>....Construction</v>
      </c>
      <c r="C853" s="1" t="str">
        <f t="shared" si="1"/>
        <v>Sub</v>
      </c>
      <c r="D853" s="1">
        <f t="shared" si="2"/>
        <v>2024</v>
      </c>
      <c r="E853" s="1" t="str">
        <f t="shared" si="3"/>
        <v>At Constant 2018 Prices</v>
      </c>
      <c r="F853" s="3">
        <v>2.553214E7</v>
      </c>
    </row>
    <row r="854" ht="15.75" customHeight="1">
      <c r="A854" s="1" t="str">
        <f t="array" ref="A854">INDEX(Reference!$A$2:$A$18, INT((ROW()-2)/(18*3*2)) + 1)</f>
        <v>Cordillera Administrative Region</v>
      </c>
      <c r="B854" s="2" t="str">
        <f t="array" ref="B854">INDEX(Reference!$C$2:$C$19, MOD(ROW()-2, 18) + 1)</f>
        <v>..Services</v>
      </c>
      <c r="C854" s="1" t="str">
        <f t="shared" si="1"/>
        <v>Main</v>
      </c>
      <c r="D854" s="1">
        <f t="shared" si="2"/>
        <v>2024</v>
      </c>
      <c r="E854" s="1" t="str">
        <f t="shared" si="3"/>
        <v>At Constant 2018 Prices</v>
      </c>
      <c r="F854" s="3">
        <v>2.62485651E8</v>
      </c>
    </row>
    <row r="855" ht="15.75" customHeight="1">
      <c r="A855" s="1" t="str">
        <f t="array" ref="A855">INDEX(Reference!$A$2:$A$18, INT((ROW()-2)/(18*3*2)) + 1)</f>
        <v>Cordillera Administrative Region</v>
      </c>
      <c r="B855" s="2" t="str">
        <f t="array" ref="B855">INDEX(Reference!$C$2:$C$19, MOD(ROW()-2, 18) + 1)</f>
        <v>....Wholesale and retail trade; repair of motor vehicles and motorcycles</v>
      </c>
      <c r="C855" s="1" t="str">
        <f t="shared" si="1"/>
        <v>Sub</v>
      </c>
      <c r="D855" s="1">
        <f t="shared" si="2"/>
        <v>2024</v>
      </c>
      <c r="E855" s="1" t="str">
        <f t="shared" si="3"/>
        <v>At Constant 2018 Prices</v>
      </c>
      <c r="F855" s="3">
        <v>6.821249E7</v>
      </c>
    </row>
    <row r="856" ht="15.75" customHeight="1">
      <c r="A856" s="1" t="str">
        <f t="array" ref="A856">INDEX(Reference!$A$2:$A$18, INT((ROW()-2)/(18*3*2)) + 1)</f>
        <v>Cordillera Administrative Region</v>
      </c>
      <c r="B856" s="2" t="str">
        <f t="array" ref="B856">INDEX(Reference!$C$2:$C$19, MOD(ROW()-2, 18) + 1)</f>
        <v>....Transportation and storage</v>
      </c>
      <c r="C856" s="1" t="str">
        <f t="shared" si="1"/>
        <v>Sub</v>
      </c>
      <c r="D856" s="1">
        <f t="shared" si="2"/>
        <v>2024</v>
      </c>
      <c r="E856" s="1" t="str">
        <f t="shared" si="3"/>
        <v>At Constant 2018 Prices</v>
      </c>
      <c r="F856" s="3">
        <v>1.052908E7</v>
      </c>
    </row>
    <row r="857" ht="15.75" customHeight="1">
      <c r="A857" s="1" t="str">
        <f t="array" ref="A857">INDEX(Reference!$A$2:$A$18, INT((ROW()-2)/(18*3*2)) + 1)</f>
        <v>Cordillera Administrative Region</v>
      </c>
      <c r="B857" s="2" t="str">
        <f t="array" ref="B857">INDEX(Reference!$C$2:$C$19, MOD(ROW()-2, 18) + 1)</f>
        <v>....Accommodation and food service activities</v>
      </c>
      <c r="C857" s="1" t="str">
        <f t="shared" si="1"/>
        <v>Sub</v>
      </c>
      <c r="D857" s="1">
        <f t="shared" si="2"/>
        <v>2024</v>
      </c>
      <c r="E857" s="1" t="str">
        <f t="shared" si="3"/>
        <v>At Constant 2018 Prices</v>
      </c>
      <c r="F857" s="3">
        <v>2.3926031E7</v>
      </c>
    </row>
    <row r="858" ht="15.75" customHeight="1">
      <c r="A858" s="1" t="str">
        <f t="array" ref="A858">INDEX(Reference!$A$2:$A$18, INT((ROW()-2)/(18*3*2)) + 1)</f>
        <v>Cordillera Administrative Region</v>
      </c>
      <c r="B858" s="2" t="str">
        <f t="array" ref="B858">INDEX(Reference!$C$2:$C$19, MOD(ROW()-2, 18) + 1)</f>
        <v>....Information and communication</v>
      </c>
      <c r="C858" s="1" t="str">
        <f t="shared" si="1"/>
        <v>Sub</v>
      </c>
      <c r="D858" s="1">
        <f t="shared" si="2"/>
        <v>2024</v>
      </c>
      <c r="E858" s="1" t="str">
        <f t="shared" si="3"/>
        <v>At Constant 2018 Prices</v>
      </c>
      <c r="F858" s="3">
        <v>1.5566506E7</v>
      </c>
    </row>
    <row r="859" ht="15.75" customHeight="1">
      <c r="A859" s="1" t="str">
        <f t="array" ref="A859">INDEX(Reference!$A$2:$A$18, INT((ROW()-2)/(18*3*2)) + 1)</f>
        <v>Cordillera Administrative Region</v>
      </c>
      <c r="B859" s="2" t="str">
        <f t="array" ref="B859">INDEX(Reference!$C$2:$C$19, MOD(ROW()-2, 18) + 1)</f>
        <v>....Financial and insurance activities</v>
      </c>
      <c r="C859" s="1" t="str">
        <f t="shared" si="1"/>
        <v>Sub</v>
      </c>
      <c r="D859" s="1">
        <f t="shared" si="2"/>
        <v>2024</v>
      </c>
      <c r="E859" s="1" t="str">
        <f t="shared" si="3"/>
        <v>At Constant 2018 Prices</v>
      </c>
      <c r="F859" s="3">
        <v>4.6356853E7</v>
      </c>
    </row>
    <row r="860" ht="15.75" customHeight="1">
      <c r="A860" s="1" t="str">
        <f t="array" ref="A860">INDEX(Reference!$A$2:$A$18, INT((ROW()-2)/(18*3*2)) + 1)</f>
        <v>Cordillera Administrative Region</v>
      </c>
      <c r="B860" s="2" t="str">
        <f t="array" ref="B860">INDEX(Reference!$C$2:$C$19, MOD(ROW()-2, 18) + 1)</f>
        <v>....Real estate and ownership of dwellings</v>
      </c>
      <c r="C860" s="1" t="str">
        <f t="shared" si="1"/>
        <v>Sub</v>
      </c>
      <c r="D860" s="1">
        <f t="shared" si="2"/>
        <v>2024</v>
      </c>
      <c r="E860" s="1" t="str">
        <f t="shared" si="3"/>
        <v>At Constant 2018 Prices</v>
      </c>
      <c r="F860" s="3">
        <v>2.5567488E7</v>
      </c>
    </row>
    <row r="861" ht="15.75" customHeight="1">
      <c r="A861" s="1" t="str">
        <f t="array" ref="A861">INDEX(Reference!$A$2:$A$18, INT((ROW()-2)/(18*3*2)) + 1)</f>
        <v>Cordillera Administrative Region</v>
      </c>
      <c r="B861" s="2" t="str">
        <f t="array" ref="B861">INDEX(Reference!$C$2:$C$19, MOD(ROW()-2, 18) + 1)</f>
        <v>....Professional and business services</v>
      </c>
      <c r="C861" s="1" t="str">
        <f t="shared" si="1"/>
        <v>Sub</v>
      </c>
      <c r="D861" s="1">
        <f t="shared" si="2"/>
        <v>2024</v>
      </c>
      <c r="E861" s="1" t="str">
        <f t="shared" si="3"/>
        <v>At Constant 2018 Prices</v>
      </c>
      <c r="F861" s="3">
        <v>2.3398416E7</v>
      </c>
    </row>
    <row r="862" ht="15.75" customHeight="1">
      <c r="A862" s="1" t="str">
        <f t="array" ref="A862">INDEX(Reference!$A$2:$A$18, INT((ROW()-2)/(18*3*2)) + 1)</f>
        <v>Cordillera Administrative Region</v>
      </c>
      <c r="B862" s="2" t="str">
        <f t="array" ref="B862">INDEX(Reference!$C$2:$C$19, MOD(ROW()-2, 18) + 1)</f>
        <v>....Public administration and defense; compulsory social activities</v>
      </c>
      <c r="C862" s="1" t="str">
        <f t="shared" si="1"/>
        <v>Sub</v>
      </c>
      <c r="D862" s="1">
        <f t="shared" si="2"/>
        <v>2024</v>
      </c>
      <c r="E862" s="1" t="str">
        <f t="shared" si="3"/>
        <v>At Constant 2018 Prices</v>
      </c>
      <c r="F862" s="3">
        <v>1.2878916E7</v>
      </c>
    </row>
    <row r="863" ht="15.75" customHeight="1">
      <c r="A863" s="1" t="str">
        <f t="array" ref="A863">INDEX(Reference!$A$2:$A$18, INT((ROW()-2)/(18*3*2)) + 1)</f>
        <v>Cordillera Administrative Region</v>
      </c>
      <c r="B863" s="2" t="str">
        <f t="array" ref="B863">INDEX(Reference!$C$2:$C$19, MOD(ROW()-2, 18) + 1)</f>
        <v>....Education</v>
      </c>
      <c r="C863" s="1" t="str">
        <f t="shared" si="1"/>
        <v>Sub</v>
      </c>
      <c r="D863" s="1">
        <f t="shared" si="2"/>
        <v>2024</v>
      </c>
      <c r="E863" s="1" t="str">
        <f t="shared" si="3"/>
        <v>At Constant 2018 Prices</v>
      </c>
      <c r="F863" s="3">
        <v>2.0685781E7</v>
      </c>
    </row>
    <row r="864" ht="15.75" customHeight="1">
      <c r="A864" s="1" t="str">
        <f t="array" ref="A864">INDEX(Reference!$A$2:$A$18, INT((ROW()-2)/(18*3*2)) + 1)</f>
        <v>Cordillera Administrative Region</v>
      </c>
      <c r="B864" s="2" t="str">
        <f t="array" ref="B864">INDEX(Reference!$C$2:$C$19, MOD(ROW()-2, 18) + 1)</f>
        <v>....Human health and social work activities</v>
      </c>
      <c r="C864" s="1" t="str">
        <f t="shared" si="1"/>
        <v>Sub</v>
      </c>
      <c r="D864" s="1">
        <f t="shared" si="2"/>
        <v>2024</v>
      </c>
      <c r="E864" s="1" t="str">
        <f t="shared" si="3"/>
        <v>At Constant 2018 Prices</v>
      </c>
      <c r="F864" s="3">
        <v>9239363.0</v>
      </c>
    </row>
    <row r="865" ht="15.75" customHeight="1">
      <c r="A865" s="1" t="str">
        <f t="array" ref="A865">INDEX(Reference!$A$2:$A$18, INT((ROW()-2)/(18*3*2)) + 1)</f>
        <v>Cordillera Administrative Region</v>
      </c>
      <c r="B865" s="2" t="str">
        <f t="array" ref="B865">INDEX(Reference!$C$2:$C$19, MOD(ROW()-2, 18) + 1)</f>
        <v>....Other services</v>
      </c>
      <c r="C865" s="1" t="str">
        <f t="shared" si="1"/>
        <v>Sub</v>
      </c>
      <c r="D865" s="1">
        <f t="shared" si="2"/>
        <v>2024</v>
      </c>
      <c r="E865" s="1" t="str">
        <f t="shared" si="3"/>
        <v>At Constant 2018 Prices</v>
      </c>
      <c r="F865" s="3">
        <v>6124726.0</v>
      </c>
    </row>
    <row r="866" ht="15.75" customHeight="1">
      <c r="A866" s="1" t="str">
        <f t="array" ref="A866">INDEX(Reference!$A$2:$A$18, INT((ROW()-2)/(18*3*2)) + 1)</f>
        <v>Davao Region</v>
      </c>
      <c r="B866" s="2" t="str">
        <f t="array" ref="B866">INDEX(Reference!$C$2:$C$19, MOD(ROW()-2, 18) + 1)</f>
        <v>..Agriculture, forestry, and fishing</v>
      </c>
      <c r="C866" s="1" t="str">
        <f t="shared" si="1"/>
        <v>Main</v>
      </c>
      <c r="D866" s="1">
        <f t="shared" si="2"/>
        <v>2022</v>
      </c>
      <c r="E866" s="1" t="str">
        <f t="shared" si="3"/>
        <v>At Current Prices</v>
      </c>
      <c r="F866" s="3">
        <v>1.95640297E8</v>
      </c>
    </row>
    <row r="867" ht="15.75" customHeight="1">
      <c r="A867" s="1" t="str">
        <f t="array" ref="A867">INDEX(Reference!$A$2:$A$18, INT((ROW()-2)/(18*3*2)) + 1)</f>
        <v>Davao Region</v>
      </c>
      <c r="B867" s="2" t="str">
        <f t="array" ref="B867">INDEX(Reference!$C$2:$C$19, MOD(ROW()-2, 18) + 1)</f>
        <v>..Industry</v>
      </c>
      <c r="C867" s="1" t="str">
        <f t="shared" si="1"/>
        <v>Main</v>
      </c>
      <c r="D867" s="1">
        <f t="shared" si="2"/>
        <v>2022</v>
      </c>
      <c r="E867" s="1" t="str">
        <f t="shared" si="3"/>
        <v>At Current Prices</v>
      </c>
      <c r="F867" s="3">
        <v>2.65701216E8</v>
      </c>
    </row>
    <row r="868" ht="15.75" customHeight="1">
      <c r="A868" s="1" t="str">
        <f t="array" ref="A868">INDEX(Reference!$A$2:$A$18, INT((ROW()-2)/(18*3*2)) + 1)</f>
        <v>Davao Region</v>
      </c>
      <c r="B868" s="2" t="str">
        <f t="array" ref="B868">INDEX(Reference!$C$2:$C$19, MOD(ROW()-2, 18) + 1)</f>
        <v>....Mining and quarrying</v>
      </c>
      <c r="C868" s="1" t="str">
        <f t="shared" si="1"/>
        <v>Sub</v>
      </c>
      <c r="D868" s="1">
        <f t="shared" si="2"/>
        <v>2022</v>
      </c>
      <c r="E868" s="1" t="str">
        <f t="shared" si="3"/>
        <v>At Current Prices</v>
      </c>
      <c r="F868" s="3">
        <v>1.3966681E7</v>
      </c>
    </row>
    <row r="869" ht="15.75" customHeight="1">
      <c r="A869" s="1" t="str">
        <f t="array" ref="A869">INDEX(Reference!$A$2:$A$18, INT((ROW()-2)/(18*3*2)) + 1)</f>
        <v>Davao Region</v>
      </c>
      <c r="B869" s="2" t="str">
        <f t="array" ref="B869">INDEX(Reference!$C$2:$C$19, MOD(ROW()-2, 18) + 1)</f>
        <v>....Manufacturing</v>
      </c>
      <c r="C869" s="1" t="str">
        <f t="shared" si="1"/>
        <v>Sub</v>
      </c>
      <c r="D869" s="1">
        <f t="shared" si="2"/>
        <v>2022</v>
      </c>
      <c r="E869" s="1" t="str">
        <f t="shared" si="3"/>
        <v>At Current Prices</v>
      </c>
      <c r="F869" s="3">
        <v>1.08401584E8</v>
      </c>
    </row>
    <row r="870" ht="15.75" customHeight="1">
      <c r="A870" s="1" t="str">
        <f t="array" ref="A870">INDEX(Reference!$A$2:$A$18, INT((ROW()-2)/(18*3*2)) + 1)</f>
        <v>Davao Region</v>
      </c>
      <c r="B870" s="2" t="str">
        <f t="array" ref="B870">INDEX(Reference!$C$2:$C$19, MOD(ROW()-2, 18) + 1)</f>
        <v>....Electricity, steam, water and waste management</v>
      </c>
      <c r="C870" s="1" t="str">
        <f t="shared" si="1"/>
        <v>Sub</v>
      </c>
      <c r="D870" s="1">
        <f t="shared" si="2"/>
        <v>2022</v>
      </c>
      <c r="E870" s="1" t="str">
        <f t="shared" si="3"/>
        <v>At Current Prices</v>
      </c>
      <c r="F870" s="3">
        <v>2.8790003E7</v>
      </c>
    </row>
    <row r="871" ht="15.75" customHeight="1">
      <c r="A871" s="1" t="str">
        <f t="array" ref="A871">INDEX(Reference!$A$2:$A$18, INT((ROW()-2)/(18*3*2)) + 1)</f>
        <v>Davao Region</v>
      </c>
      <c r="B871" s="2" t="str">
        <f t="array" ref="B871">INDEX(Reference!$C$2:$C$19, MOD(ROW()-2, 18) + 1)</f>
        <v>....Construction</v>
      </c>
      <c r="C871" s="1" t="str">
        <f t="shared" si="1"/>
        <v>Sub</v>
      </c>
      <c r="D871" s="1">
        <f t="shared" si="2"/>
        <v>2022</v>
      </c>
      <c r="E871" s="1" t="str">
        <f t="shared" si="3"/>
        <v>At Current Prices</v>
      </c>
      <c r="F871" s="3">
        <v>1.14542948E8</v>
      </c>
    </row>
    <row r="872" ht="15.75" customHeight="1">
      <c r="A872" s="1" t="str">
        <f t="array" ref="A872">INDEX(Reference!$A$2:$A$18, INT((ROW()-2)/(18*3*2)) + 1)</f>
        <v>Davao Region</v>
      </c>
      <c r="B872" s="2" t="str">
        <f t="array" ref="B872">INDEX(Reference!$C$2:$C$19, MOD(ROW()-2, 18) + 1)</f>
        <v>..Services</v>
      </c>
      <c r="C872" s="1" t="str">
        <f t="shared" si="1"/>
        <v>Main</v>
      </c>
      <c r="D872" s="1">
        <f t="shared" si="2"/>
        <v>2022</v>
      </c>
      <c r="E872" s="1" t="str">
        <f t="shared" si="3"/>
        <v>At Current Prices</v>
      </c>
      <c r="F872" s="3">
        <v>6.34662612E8</v>
      </c>
    </row>
    <row r="873" ht="15.75" customHeight="1">
      <c r="A873" s="1" t="str">
        <f t="array" ref="A873">INDEX(Reference!$A$2:$A$18, INT((ROW()-2)/(18*3*2)) + 1)</f>
        <v>Davao Region</v>
      </c>
      <c r="B873" s="2" t="str">
        <f t="array" ref="B873">INDEX(Reference!$C$2:$C$19, MOD(ROW()-2, 18) + 1)</f>
        <v>....Wholesale and retail trade; repair of motor vehicles and motorcycles</v>
      </c>
      <c r="C873" s="1" t="str">
        <f t="shared" si="1"/>
        <v>Sub</v>
      </c>
      <c r="D873" s="1">
        <f t="shared" si="2"/>
        <v>2022</v>
      </c>
      <c r="E873" s="1" t="str">
        <f t="shared" si="3"/>
        <v>At Current Prices</v>
      </c>
      <c r="F873" s="3">
        <v>2.4749482E8</v>
      </c>
    </row>
    <row r="874" ht="15.75" customHeight="1">
      <c r="A874" s="1" t="str">
        <f t="array" ref="A874">INDEX(Reference!$A$2:$A$18, INT((ROW()-2)/(18*3*2)) + 1)</f>
        <v>Davao Region</v>
      </c>
      <c r="B874" s="2" t="str">
        <f t="array" ref="B874">INDEX(Reference!$C$2:$C$19, MOD(ROW()-2, 18) + 1)</f>
        <v>....Transportation and storage</v>
      </c>
      <c r="C874" s="1" t="str">
        <f t="shared" si="1"/>
        <v>Sub</v>
      </c>
      <c r="D874" s="1">
        <f t="shared" si="2"/>
        <v>2022</v>
      </c>
      <c r="E874" s="1" t="str">
        <f t="shared" si="3"/>
        <v>At Current Prices</v>
      </c>
      <c r="F874" s="3">
        <v>4.9748295E7</v>
      </c>
    </row>
    <row r="875" ht="15.75" customHeight="1">
      <c r="A875" s="1" t="str">
        <f t="array" ref="A875">INDEX(Reference!$A$2:$A$18, INT((ROW()-2)/(18*3*2)) + 1)</f>
        <v>Davao Region</v>
      </c>
      <c r="B875" s="2" t="str">
        <f t="array" ref="B875">INDEX(Reference!$C$2:$C$19, MOD(ROW()-2, 18) + 1)</f>
        <v>....Accommodation and food service activities</v>
      </c>
      <c r="C875" s="1" t="str">
        <f t="shared" si="1"/>
        <v>Sub</v>
      </c>
      <c r="D875" s="1">
        <f t="shared" si="2"/>
        <v>2022</v>
      </c>
      <c r="E875" s="1" t="str">
        <f t="shared" si="3"/>
        <v>At Current Prices</v>
      </c>
      <c r="F875" s="3">
        <v>1.9838473E7</v>
      </c>
    </row>
    <row r="876" ht="15.75" customHeight="1">
      <c r="A876" s="1" t="str">
        <f t="array" ref="A876">INDEX(Reference!$A$2:$A$18, INT((ROW()-2)/(18*3*2)) + 1)</f>
        <v>Davao Region</v>
      </c>
      <c r="B876" s="2" t="str">
        <f t="array" ref="B876">INDEX(Reference!$C$2:$C$19, MOD(ROW()-2, 18) + 1)</f>
        <v>....Information and communication</v>
      </c>
      <c r="C876" s="1" t="str">
        <f t="shared" si="1"/>
        <v>Sub</v>
      </c>
      <c r="D876" s="1">
        <f t="shared" si="2"/>
        <v>2022</v>
      </c>
      <c r="E876" s="1" t="str">
        <f t="shared" si="3"/>
        <v>At Current Prices</v>
      </c>
      <c r="F876" s="3">
        <v>2.6613244E7</v>
      </c>
    </row>
    <row r="877" ht="15.75" customHeight="1">
      <c r="A877" s="1" t="str">
        <f t="array" ref="A877">INDEX(Reference!$A$2:$A$18, INT((ROW()-2)/(18*3*2)) + 1)</f>
        <v>Davao Region</v>
      </c>
      <c r="B877" s="2" t="str">
        <f t="array" ref="B877">INDEX(Reference!$C$2:$C$19, MOD(ROW()-2, 18) + 1)</f>
        <v>....Financial and insurance activities</v>
      </c>
      <c r="C877" s="1" t="str">
        <f t="shared" si="1"/>
        <v>Sub</v>
      </c>
      <c r="D877" s="1">
        <f t="shared" si="2"/>
        <v>2022</v>
      </c>
      <c r="E877" s="1" t="str">
        <f t="shared" si="3"/>
        <v>At Current Prices</v>
      </c>
      <c r="F877" s="3">
        <v>7.7977648E7</v>
      </c>
    </row>
    <row r="878" ht="15.75" customHeight="1">
      <c r="A878" s="1" t="str">
        <f t="array" ref="A878">INDEX(Reference!$A$2:$A$18, INT((ROW()-2)/(18*3*2)) + 1)</f>
        <v>Davao Region</v>
      </c>
      <c r="B878" s="2" t="str">
        <f t="array" ref="B878">INDEX(Reference!$C$2:$C$19, MOD(ROW()-2, 18) + 1)</f>
        <v>....Real estate and ownership of dwellings</v>
      </c>
      <c r="C878" s="1" t="str">
        <f t="shared" si="1"/>
        <v>Sub</v>
      </c>
      <c r="D878" s="1">
        <f t="shared" si="2"/>
        <v>2022</v>
      </c>
      <c r="E878" s="1" t="str">
        <f t="shared" si="3"/>
        <v>At Current Prices</v>
      </c>
      <c r="F878" s="3">
        <v>4.6745939E7</v>
      </c>
    </row>
    <row r="879" ht="15.75" customHeight="1">
      <c r="A879" s="1" t="str">
        <f t="array" ref="A879">INDEX(Reference!$A$2:$A$18, INT((ROW()-2)/(18*3*2)) + 1)</f>
        <v>Davao Region</v>
      </c>
      <c r="B879" s="2" t="str">
        <f t="array" ref="B879">INDEX(Reference!$C$2:$C$19, MOD(ROW()-2, 18) + 1)</f>
        <v>....Professional and business services</v>
      </c>
      <c r="C879" s="1" t="str">
        <f t="shared" si="1"/>
        <v>Sub</v>
      </c>
      <c r="D879" s="1">
        <f t="shared" si="2"/>
        <v>2022</v>
      </c>
      <c r="E879" s="1" t="str">
        <f t="shared" si="3"/>
        <v>At Current Prices</v>
      </c>
      <c r="F879" s="3">
        <v>4.1916912E7</v>
      </c>
    </row>
    <row r="880" ht="15.75" customHeight="1">
      <c r="A880" s="1" t="str">
        <f t="array" ref="A880">INDEX(Reference!$A$2:$A$18, INT((ROW()-2)/(18*3*2)) + 1)</f>
        <v>Davao Region</v>
      </c>
      <c r="B880" s="2" t="str">
        <f t="array" ref="B880">INDEX(Reference!$C$2:$C$19, MOD(ROW()-2, 18) + 1)</f>
        <v>....Public administration and defense; compulsory social activities</v>
      </c>
      <c r="C880" s="1" t="str">
        <f t="shared" si="1"/>
        <v>Sub</v>
      </c>
      <c r="D880" s="1">
        <f t="shared" si="2"/>
        <v>2022</v>
      </c>
      <c r="E880" s="1" t="str">
        <f t="shared" si="3"/>
        <v>At Current Prices</v>
      </c>
      <c r="F880" s="3">
        <v>3.555861E7</v>
      </c>
    </row>
    <row r="881" ht="15.75" customHeight="1">
      <c r="A881" s="1" t="str">
        <f t="array" ref="A881">INDEX(Reference!$A$2:$A$18, INT((ROW()-2)/(18*3*2)) + 1)</f>
        <v>Davao Region</v>
      </c>
      <c r="B881" s="2" t="str">
        <f t="array" ref="B881">INDEX(Reference!$C$2:$C$19, MOD(ROW()-2, 18) + 1)</f>
        <v>....Education</v>
      </c>
      <c r="C881" s="1" t="str">
        <f t="shared" si="1"/>
        <v>Sub</v>
      </c>
      <c r="D881" s="1">
        <f t="shared" si="2"/>
        <v>2022</v>
      </c>
      <c r="E881" s="1" t="str">
        <f t="shared" si="3"/>
        <v>At Current Prices</v>
      </c>
      <c r="F881" s="3">
        <v>4.2944766E7</v>
      </c>
    </row>
    <row r="882" ht="15.75" customHeight="1">
      <c r="A882" s="1" t="str">
        <f t="array" ref="A882">INDEX(Reference!$A$2:$A$18, INT((ROW()-2)/(18*3*2)) + 1)</f>
        <v>Davao Region</v>
      </c>
      <c r="B882" s="2" t="str">
        <f t="array" ref="B882">INDEX(Reference!$C$2:$C$19, MOD(ROW()-2, 18) + 1)</f>
        <v>....Human health and social work activities</v>
      </c>
      <c r="C882" s="1" t="str">
        <f t="shared" si="1"/>
        <v>Sub</v>
      </c>
      <c r="D882" s="1">
        <f t="shared" si="2"/>
        <v>2022</v>
      </c>
      <c r="E882" s="1" t="str">
        <f t="shared" si="3"/>
        <v>At Current Prices</v>
      </c>
      <c r="F882" s="3">
        <v>3.2991102E7</v>
      </c>
    </row>
    <row r="883" ht="15.75" customHeight="1">
      <c r="A883" s="1" t="str">
        <f t="array" ref="A883">INDEX(Reference!$A$2:$A$18, INT((ROW()-2)/(18*3*2)) + 1)</f>
        <v>Davao Region</v>
      </c>
      <c r="B883" s="2" t="str">
        <f t="array" ref="B883">INDEX(Reference!$C$2:$C$19, MOD(ROW()-2, 18) + 1)</f>
        <v>....Other services</v>
      </c>
      <c r="C883" s="1" t="str">
        <f t="shared" si="1"/>
        <v>Sub</v>
      </c>
      <c r="D883" s="1">
        <f t="shared" si="2"/>
        <v>2022</v>
      </c>
      <c r="E883" s="1" t="str">
        <f t="shared" si="3"/>
        <v>At Current Prices</v>
      </c>
      <c r="F883" s="3">
        <v>1.2832802E7</v>
      </c>
    </row>
    <row r="884" ht="15.75" customHeight="1">
      <c r="A884" s="1" t="str">
        <f t="array" ref="A884">INDEX(Reference!$A$2:$A$18, INT((ROW()-2)/(18*3*2)) + 1)</f>
        <v>Davao Region</v>
      </c>
      <c r="B884" s="2" t="str">
        <f t="array" ref="B884">INDEX(Reference!$C$2:$C$19, MOD(ROW()-2, 18) + 1)</f>
        <v>..Agriculture, forestry, and fishing</v>
      </c>
      <c r="C884" s="1" t="str">
        <f t="shared" si="1"/>
        <v>Main</v>
      </c>
      <c r="D884" s="1">
        <f t="shared" si="2"/>
        <v>2023</v>
      </c>
      <c r="E884" s="1" t="str">
        <f t="shared" si="3"/>
        <v>At Current Prices</v>
      </c>
      <c r="F884" s="3">
        <v>2.31378202E8</v>
      </c>
    </row>
    <row r="885" ht="15.75" customHeight="1">
      <c r="A885" s="1" t="str">
        <f t="array" ref="A885">INDEX(Reference!$A$2:$A$18, INT((ROW()-2)/(18*3*2)) + 1)</f>
        <v>Davao Region</v>
      </c>
      <c r="B885" s="2" t="str">
        <f t="array" ref="B885">INDEX(Reference!$C$2:$C$19, MOD(ROW()-2, 18) + 1)</f>
        <v>..Industry</v>
      </c>
      <c r="C885" s="1" t="str">
        <f t="shared" si="1"/>
        <v>Main</v>
      </c>
      <c r="D885" s="1">
        <f t="shared" si="2"/>
        <v>2023</v>
      </c>
      <c r="E885" s="1" t="str">
        <f t="shared" si="3"/>
        <v>At Current Prices</v>
      </c>
      <c r="F885" s="3">
        <v>2.96828621E8</v>
      </c>
    </row>
    <row r="886" ht="15.75" customHeight="1">
      <c r="A886" s="1" t="str">
        <f t="array" ref="A886">INDEX(Reference!$A$2:$A$18, INT((ROW()-2)/(18*3*2)) + 1)</f>
        <v>Davao Region</v>
      </c>
      <c r="B886" s="2" t="str">
        <f t="array" ref="B886">INDEX(Reference!$C$2:$C$19, MOD(ROW()-2, 18) + 1)</f>
        <v>....Mining and quarrying</v>
      </c>
      <c r="C886" s="1" t="str">
        <f t="shared" si="1"/>
        <v>Sub</v>
      </c>
      <c r="D886" s="1">
        <f t="shared" si="2"/>
        <v>2023</v>
      </c>
      <c r="E886" s="1" t="str">
        <f t="shared" si="3"/>
        <v>At Current Prices</v>
      </c>
      <c r="F886" s="3">
        <v>1.616866E7</v>
      </c>
    </row>
    <row r="887" ht="15.75" customHeight="1">
      <c r="A887" s="1" t="str">
        <f t="array" ref="A887">INDEX(Reference!$A$2:$A$18, INT((ROW()-2)/(18*3*2)) + 1)</f>
        <v>Davao Region</v>
      </c>
      <c r="B887" s="2" t="str">
        <f t="array" ref="B887">INDEX(Reference!$C$2:$C$19, MOD(ROW()-2, 18) + 1)</f>
        <v>....Manufacturing</v>
      </c>
      <c r="C887" s="1" t="str">
        <f t="shared" si="1"/>
        <v>Sub</v>
      </c>
      <c r="D887" s="1">
        <f t="shared" si="2"/>
        <v>2023</v>
      </c>
      <c r="E887" s="1" t="str">
        <f t="shared" si="3"/>
        <v>At Current Prices</v>
      </c>
      <c r="F887" s="3">
        <v>1.16130877E8</v>
      </c>
    </row>
    <row r="888" ht="15.75" customHeight="1">
      <c r="A888" s="1" t="str">
        <f t="array" ref="A888">INDEX(Reference!$A$2:$A$18, INT((ROW()-2)/(18*3*2)) + 1)</f>
        <v>Davao Region</v>
      </c>
      <c r="B888" s="2" t="str">
        <f t="array" ref="B888">INDEX(Reference!$C$2:$C$19, MOD(ROW()-2, 18) + 1)</f>
        <v>....Electricity, steam, water and waste management</v>
      </c>
      <c r="C888" s="1" t="str">
        <f t="shared" si="1"/>
        <v>Sub</v>
      </c>
      <c r="D888" s="1">
        <f t="shared" si="2"/>
        <v>2023</v>
      </c>
      <c r="E888" s="1" t="str">
        <f t="shared" si="3"/>
        <v>At Current Prices</v>
      </c>
      <c r="F888" s="3">
        <v>3.1690031E7</v>
      </c>
    </row>
    <row r="889" ht="15.75" customHeight="1">
      <c r="A889" s="1" t="str">
        <f t="array" ref="A889">INDEX(Reference!$A$2:$A$18, INT((ROW()-2)/(18*3*2)) + 1)</f>
        <v>Davao Region</v>
      </c>
      <c r="B889" s="2" t="str">
        <f t="array" ref="B889">INDEX(Reference!$C$2:$C$19, MOD(ROW()-2, 18) + 1)</f>
        <v>....Construction</v>
      </c>
      <c r="C889" s="1" t="str">
        <f t="shared" si="1"/>
        <v>Sub</v>
      </c>
      <c r="D889" s="1">
        <f t="shared" si="2"/>
        <v>2023</v>
      </c>
      <c r="E889" s="1" t="str">
        <f t="shared" si="3"/>
        <v>At Current Prices</v>
      </c>
      <c r="F889" s="3">
        <v>1.32839054E8</v>
      </c>
    </row>
    <row r="890" ht="15.75" customHeight="1">
      <c r="A890" s="1" t="str">
        <f t="array" ref="A890">INDEX(Reference!$A$2:$A$18, INT((ROW()-2)/(18*3*2)) + 1)</f>
        <v>Davao Region</v>
      </c>
      <c r="B890" s="2" t="str">
        <f t="array" ref="B890">INDEX(Reference!$C$2:$C$19, MOD(ROW()-2, 18) + 1)</f>
        <v>..Services</v>
      </c>
      <c r="C890" s="1" t="str">
        <f t="shared" si="1"/>
        <v>Main</v>
      </c>
      <c r="D890" s="1">
        <f t="shared" si="2"/>
        <v>2023</v>
      </c>
      <c r="E890" s="1" t="str">
        <f t="shared" si="3"/>
        <v>At Current Prices</v>
      </c>
      <c r="F890" s="3">
        <v>7.27090333E8</v>
      </c>
    </row>
    <row r="891" ht="15.75" customHeight="1">
      <c r="A891" s="1" t="str">
        <f t="array" ref="A891">INDEX(Reference!$A$2:$A$18, INT((ROW()-2)/(18*3*2)) + 1)</f>
        <v>Davao Region</v>
      </c>
      <c r="B891" s="2" t="str">
        <f t="array" ref="B891">INDEX(Reference!$C$2:$C$19, MOD(ROW()-2, 18) + 1)</f>
        <v>....Wholesale and retail trade; repair of motor vehicles and motorcycles</v>
      </c>
      <c r="C891" s="1" t="str">
        <f t="shared" si="1"/>
        <v>Sub</v>
      </c>
      <c r="D891" s="1">
        <f t="shared" si="2"/>
        <v>2023</v>
      </c>
      <c r="E891" s="1" t="str">
        <f t="shared" si="3"/>
        <v>At Current Prices</v>
      </c>
      <c r="F891" s="3">
        <v>2.81542658E8</v>
      </c>
    </row>
    <row r="892" ht="15.75" customHeight="1">
      <c r="A892" s="1" t="str">
        <f t="array" ref="A892">INDEX(Reference!$A$2:$A$18, INT((ROW()-2)/(18*3*2)) + 1)</f>
        <v>Davao Region</v>
      </c>
      <c r="B892" s="2" t="str">
        <f t="array" ref="B892">INDEX(Reference!$C$2:$C$19, MOD(ROW()-2, 18) + 1)</f>
        <v>....Transportation and storage</v>
      </c>
      <c r="C892" s="1" t="str">
        <f t="shared" si="1"/>
        <v>Sub</v>
      </c>
      <c r="D892" s="1">
        <f t="shared" si="2"/>
        <v>2023</v>
      </c>
      <c r="E892" s="1" t="str">
        <f t="shared" si="3"/>
        <v>At Current Prices</v>
      </c>
      <c r="F892" s="3">
        <v>6.0532721E7</v>
      </c>
    </row>
    <row r="893" ht="15.75" customHeight="1">
      <c r="A893" s="1" t="str">
        <f t="array" ref="A893">INDEX(Reference!$A$2:$A$18, INT((ROW()-2)/(18*3*2)) + 1)</f>
        <v>Davao Region</v>
      </c>
      <c r="B893" s="2" t="str">
        <f t="array" ref="B893">INDEX(Reference!$C$2:$C$19, MOD(ROW()-2, 18) + 1)</f>
        <v>....Accommodation and food service activities</v>
      </c>
      <c r="C893" s="1" t="str">
        <f t="shared" si="1"/>
        <v>Sub</v>
      </c>
      <c r="D893" s="1">
        <f t="shared" si="2"/>
        <v>2023</v>
      </c>
      <c r="E893" s="1" t="str">
        <f t="shared" si="3"/>
        <v>At Current Prices</v>
      </c>
      <c r="F893" s="3">
        <v>2.4534008E7</v>
      </c>
    </row>
    <row r="894" ht="15.75" customHeight="1">
      <c r="A894" s="1" t="str">
        <f t="array" ref="A894">INDEX(Reference!$A$2:$A$18, INT((ROW()-2)/(18*3*2)) + 1)</f>
        <v>Davao Region</v>
      </c>
      <c r="B894" s="2" t="str">
        <f t="array" ref="B894">INDEX(Reference!$C$2:$C$19, MOD(ROW()-2, 18) + 1)</f>
        <v>....Information and communication</v>
      </c>
      <c r="C894" s="1" t="str">
        <f t="shared" si="1"/>
        <v>Sub</v>
      </c>
      <c r="D894" s="1">
        <f t="shared" si="2"/>
        <v>2023</v>
      </c>
      <c r="E894" s="1" t="str">
        <f t="shared" si="3"/>
        <v>At Current Prices</v>
      </c>
      <c r="F894" s="3">
        <v>2.866449E7</v>
      </c>
    </row>
    <row r="895" ht="15.75" customHeight="1">
      <c r="A895" s="1" t="str">
        <f t="array" ref="A895">INDEX(Reference!$A$2:$A$18, INT((ROW()-2)/(18*3*2)) + 1)</f>
        <v>Davao Region</v>
      </c>
      <c r="B895" s="2" t="str">
        <f t="array" ref="B895">INDEX(Reference!$C$2:$C$19, MOD(ROW()-2, 18) + 1)</f>
        <v>....Financial and insurance activities</v>
      </c>
      <c r="C895" s="1" t="str">
        <f t="shared" si="1"/>
        <v>Sub</v>
      </c>
      <c r="D895" s="1">
        <f t="shared" si="2"/>
        <v>2023</v>
      </c>
      <c r="E895" s="1" t="str">
        <f t="shared" si="3"/>
        <v>At Current Prices</v>
      </c>
      <c r="F895" s="3">
        <v>9.2432422E7</v>
      </c>
    </row>
    <row r="896" ht="15.75" customHeight="1">
      <c r="A896" s="1" t="str">
        <f t="array" ref="A896">INDEX(Reference!$A$2:$A$18, INT((ROW()-2)/(18*3*2)) + 1)</f>
        <v>Davao Region</v>
      </c>
      <c r="B896" s="2" t="str">
        <f t="array" ref="B896">INDEX(Reference!$C$2:$C$19, MOD(ROW()-2, 18) + 1)</f>
        <v>....Real estate and ownership of dwellings</v>
      </c>
      <c r="C896" s="1" t="str">
        <f t="shared" si="1"/>
        <v>Sub</v>
      </c>
      <c r="D896" s="1">
        <f t="shared" si="2"/>
        <v>2023</v>
      </c>
      <c r="E896" s="1" t="str">
        <f t="shared" si="3"/>
        <v>At Current Prices</v>
      </c>
      <c r="F896" s="3">
        <v>5.0820237E7</v>
      </c>
    </row>
    <row r="897" ht="15.75" customHeight="1">
      <c r="A897" s="1" t="str">
        <f t="array" ref="A897">INDEX(Reference!$A$2:$A$18, INT((ROW()-2)/(18*3*2)) + 1)</f>
        <v>Davao Region</v>
      </c>
      <c r="B897" s="2" t="str">
        <f t="array" ref="B897">INDEX(Reference!$C$2:$C$19, MOD(ROW()-2, 18) + 1)</f>
        <v>....Professional and business services</v>
      </c>
      <c r="C897" s="1" t="str">
        <f t="shared" si="1"/>
        <v>Sub</v>
      </c>
      <c r="D897" s="1">
        <f t="shared" si="2"/>
        <v>2023</v>
      </c>
      <c r="E897" s="1" t="str">
        <f t="shared" si="3"/>
        <v>At Current Prices</v>
      </c>
      <c r="F897" s="3">
        <v>4.7681873E7</v>
      </c>
    </row>
    <row r="898" ht="15.75" customHeight="1">
      <c r="A898" s="1" t="str">
        <f t="array" ref="A898">INDEX(Reference!$A$2:$A$18, INT((ROW()-2)/(18*3*2)) + 1)</f>
        <v>Davao Region</v>
      </c>
      <c r="B898" s="2" t="str">
        <f t="array" ref="B898">INDEX(Reference!$C$2:$C$19, MOD(ROW()-2, 18) + 1)</f>
        <v>....Public administration and defense; compulsory social activities</v>
      </c>
      <c r="C898" s="1" t="str">
        <f t="shared" si="1"/>
        <v>Sub</v>
      </c>
      <c r="D898" s="1">
        <f t="shared" si="2"/>
        <v>2023</v>
      </c>
      <c r="E898" s="1" t="str">
        <f t="shared" si="3"/>
        <v>At Current Prices</v>
      </c>
      <c r="F898" s="3">
        <v>3.9278589E7</v>
      </c>
    </row>
    <row r="899" ht="15.75" customHeight="1">
      <c r="A899" s="1" t="str">
        <f t="array" ref="A899">INDEX(Reference!$A$2:$A$18, INT((ROW()-2)/(18*3*2)) + 1)</f>
        <v>Davao Region</v>
      </c>
      <c r="B899" s="2" t="str">
        <f t="array" ref="B899">INDEX(Reference!$C$2:$C$19, MOD(ROW()-2, 18) + 1)</f>
        <v>....Education</v>
      </c>
      <c r="C899" s="1" t="str">
        <f t="shared" si="1"/>
        <v>Sub</v>
      </c>
      <c r="D899" s="1">
        <f t="shared" si="2"/>
        <v>2023</v>
      </c>
      <c r="E899" s="1" t="str">
        <f t="shared" si="3"/>
        <v>At Current Prices</v>
      </c>
      <c r="F899" s="3">
        <v>4.7770382E7</v>
      </c>
    </row>
    <row r="900" ht="15.75" customHeight="1">
      <c r="A900" s="1" t="str">
        <f t="array" ref="A900">INDEX(Reference!$A$2:$A$18, INT((ROW()-2)/(18*3*2)) + 1)</f>
        <v>Davao Region</v>
      </c>
      <c r="B900" s="2" t="str">
        <f t="array" ref="B900">INDEX(Reference!$C$2:$C$19, MOD(ROW()-2, 18) + 1)</f>
        <v>....Human health and social work activities</v>
      </c>
      <c r="C900" s="1" t="str">
        <f t="shared" si="1"/>
        <v>Sub</v>
      </c>
      <c r="D900" s="1">
        <f t="shared" si="2"/>
        <v>2023</v>
      </c>
      <c r="E900" s="1" t="str">
        <f t="shared" si="3"/>
        <v>At Current Prices</v>
      </c>
      <c r="F900" s="3">
        <v>3.7071511E7</v>
      </c>
    </row>
    <row r="901" ht="15.75" customHeight="1">
      <c r="A901" s="1" t="str">
        <f t="array" ref="A901">INDEX(Reference!$A$2:$A$18, INT((ROW()-2)/(18*3*2)) + 1)</f>
        <v>Davao Region</v>
      </c>
      <c r="B901" s="2" t="str">
        <f t="array" ref="B901">INDEX(Reference!$C$2:$C$19, MOD(ROW()-2, 18) + 1)</f>
        <v>....Other services</v>
      </c>
      <c r="C901" s="1" t="str">
        <f t="shared" si="1"/>
        <v>Sub</v>
      </c>
      <c r="D901" s="1">
        <f t="shared" si="2"/>
        <v>2023</v>
      </c>
      <c r="E901" s="1" t="str">
        <f t="shared" si="3"/>
        <v>At Current Prices</v>
      </c>
      <c r="F901" s="3">
        <v>1.6761442E7</v>
      </c>
    </row>
    <row r="902" ht="15.75" customHeight="1">
      <c r="A902" s="1" t="str">
        <f t="array" ref="A902">INDEX(Reference!$A$2:$A$18, INT((ROW()-2)/(18*3*2)) + 1)</f>
        <v>Davao Region</v>
      </c>
      <c r="B902" s="2" t="str">
        <f t="array" ref="B902">INDEX(Reference!$C$2:$C$19, MOD(ROW()-2, 18) + 1)</f>
        <v>..Agriculture, forestry, and fishing</v>
      </c>
      <c r="C902" s="1" t="str">
        <f t="shared" si="1"/>
        <v>Main</v>
      </c>
      <c r="D902" s="1">
        <f t="shared" si="2"/>
        <v>2024</v>
      </c>
      <c r="E902" s="1" t="str">
        <f t="shared" si="3"/>
        <v>At Current Prices</v>
      </c>
      <c r="F902" s="3">
        <v>2.35375678E8</v>
      </c>
    </row>
    <row r="903" ht="15.75" customHeight="1">
      <c r="A903" s="1" t="str">
        <f t="array" ref="A903">INDEX(Reference!$A$2:$A$18, INT((ROW()-2)/(18*3*2)) + 1)</f>
        <v>Davao Region</v>
      </c>
      <c r="B903" s="2" t="str">
        <f t="array" ref="B903">INDEX(Reference!$C$2:$C$19, MOD(ROW()-2, 18) + 1)</f>
        <v>..Industry</v>
      </c>
      <c r="C903" s="1" t="str">
        <f t="shared" si="1"/>
        <v>Main</v>
      </c>
      <c r="D903" s="1">
        <f t="shared" si="2"/>
        <v>2024</v>
      </c>
      <c r="E903" s="1" t="str">
        <f t="shared" si="3"/>
        <v>At Current Prices</v>
      </c>
      <c r="F903" s="3">
        <v>3.31640358E8</v>
      </c>
    </row>
    <row r="904" ht="15.75" customHeight="1">
      <c r="A904" s="1" t="str">
        <f t="array" ref="A904">INDEX(Reference!$A$2:$A$18, INT((ROW()-2)/(18*3*2)) + 1)</f>
        <v>Davao Region</v>
      </c>
      <c r="B904" s="2" t="str">
        <f t="array" ref="B904">INDEX(Reference!$C$2:$C$19, MOD(ROW()-2, 18) + 1)</f>
        <v>....Mining and quarrying</v>
      </c>
      <c r="C904" s="1" t="str">
        <f t="shared" si="1"/>
        <v>Sub</v>
      </c>
      <c r="D904" s="1">
        <f t="shared" si="2"/>
        <v>2024</v>
      </c>
      <c r="E904" s="1" t="str">
        <f t="shared" si="3"/>
        <v>At Current Prices</v>
      </c>
      <c r="F904" s="3">
        <v>2.0366597E7</v>
      </c>
    </row>
    <row r="905" ht="15.75" customHeight="1">
      <c r="A905" s="1" t="str">
        <f t="array" ref="A905">INDEX(Reference!$A$2:$A$18, INT((ROW()-2)/(18*3*2)) + 1)</f>
        <v>Davao Region</v>
      </c>
      <c r="B905" s="2" t="str">
        <f t="array" ref="B905">INDEX(Reference!$C$2:$C$19, MOD(ROW()-2, 18) + 1)</f>
        <v>....Manufacturing</v>
      </c>
      <c r="C905" s="1" t="str">
        <f t="shared" si="1"/>
        <v>Sub</v>
      </c>
      <c r="D905" s="1">
        <f t="shared" si="2"/>
        <v>2024</v>
      </c>
      <c r="E905" s="1" t="str">
        <f t="shared" si="3"/>
        <v>At Current Prices</v>
      </c>
      <c r="F905" s="3">
        <v>1.21698173E8</v>
      </c>
    </row>
    <row r="906" ht="15.75" customHeight="1">
      <c r="A906" s="1" t="str">
        <f t="array" ref="A906">INDEX(Reference!$A$2:$A$18, INT((ROW()-2)/(18*3*2)) + 1)</f>
        <v>Davao Region</v>
      </c>
      <c r="B906" s="2" t="str">
        <f t="array" ref="B906">INDEX(Reference!$C$2:$C$19, MOD(ROW()-2, 18) + 1)</f>
        <v>....Electricity, steam, water and waste management</v>
      </c>
      <c r="C906" s="1" t="str">
        <f t="shared" si="1"/>
        <v>Sub</v>
      </c>
      <c r="D906" s="1">
        <f t="shared" si="2"/>
        <v>2024</v>
      </c>
      <c r="E906" s="1" t="str">
        <f t="shared" si="3"/>
        <v>At Current Prices</v>
      </c>
      <c r="F906" s="3">
        <v>3.2991164E7</v>
      </c>
    </row>
    <row r="907" ht="15.75" customHeight="1">
      <c r="A907" s="1" t="str">
        <f t="array" ref="A907">INDEX(Reference!$A$2:$A$18, INT((ROW()-2)/(18*3*2)) + 1)</f>
        <v>Davao Region</v>
      </c>
      <c r="B907" s="2" t="str">
        <f t="array" ref="B907">INDEX(Reference!$C$2:$C$19, MOD(ROW()-2, 18) + 1)</f>
        <v>....Construction</v>
      </c>
      <c r="C907" s="1" t="str">
        <f t="shared" si="1"/>
        <v>Sub</v>
      </c>
      <c r="D907" s="1">
        <f t="shared" si="2"/>
        <v>2024</v>
      </c>
      <c r="E907" s="1" t="str">
        <f t="shared" si="3"/>
        <v>At Current Prices</v>
      </c>
      <c r="F907" s="3">
        <v>1.56584425E8</v>
      </c>
    </row>
    <row r="908" ht="15.75" customHeight="1">
      <c r="A908" s="1" t="str">
        <f t="array" ref="A908">INDEX(Reference!$A$2:$A$18, INT((ROW()-2)/(18*3*2)) + 1)</f>
        <v>Davao Region</v>
      </c>
      <c r="B908" s="2" t="str">
        <f t="array" ref="B908">INDEX(Reference!$C$2:$C$19, MOD(ROW()-2, 18) + 1)</f>
        <v>..Services</v>
      </c>
      <c r="C908" s="1" t="str">
        <f t="shared" si="1"/>
        <v>Main</v>
      </c>
      <c r="D908" s="1">
        <f t="shared" si="2"/>
        <v>2024</v>
      </c>
      <c r="E908" s="1" t="str">
        <f t="shared" si="3"/>
        <v>At Current Prices</v>
      </c>
      <c r="F908" s="3">
        <v>8.0963484E8</v>
      </c>
    </row>
    <row r="909" ht="15.75" customHeight="1">
      <c r="A909" s="1" t="str">
        <f t="array" ref="A909">INDEX(Reference!$A$2:$A$18, INT((ROW()-2)/(18*3*2)) + 1)</f>
        <v>Davao Region</v>
      </c>
      <c r="B909" s="2" t="str">
        <f t="array" ref="B909">INDEX(Reference!$C$2:$C$19, MOD(ROW()-2, 18) + 1)</f>
        <v>....Wholesale and retail trade; repair of motor vehicles and motorcycles</v>
      </c>
      <c r="C909" s="1" t="str">
        <f t="shared" si="1"/>
        <v>Sub</v>
      </c>
      <c r="D909" s="1">
        <f t="shared" si="2"/>
        <v>2024</v>
      </c>
      <c r="E909" s="1" t="str">
        <f t="shared" si="3"/>
        <v>At Current Prices</v>
      </c>
      <c r="F909" s="3">
        <v>3.11863673E8</v>
      </c>
    </row>
    <row r="910" ht="15.75" customHeight="1">
      <c r="A910" s="1" t="str">
        <f t="array" ref="A910">INDEX(Reference!$A$2:$A$18, INT((ROW()-2)/(18*3*2)) + 1)</f>
        <v>Davao Region</v>
      </c>
      <c r="B910" s="2" t="str">
        <f t="array" ref="B910">INDEX(Reference!$C$2:$C$19, MOD(ROW()-2, 18) + 1)</f>
        <v>....Transportation and storage</v>
      </c>
      <c r="C910" s="1" t="str">
        <f t="shared" si="1"/>
        <v>Sub</v>
      </c>
      <c r="D910" s="1">
        <f t="shared" si="2"/>
        <v>2024</v>
      </c>
      <c r="E910" s="1" t="str">
        <f t="shared" si="3"/>
        <v>At Current Prices</v>
      </c>
      <c r="F910" s="3">
        <v>6.7466812E7</v>
      </c>
    </row>
    <row r="911" ht="15.75" customHeight="1">
      <c r="A911" s="1" t="str">
        <f t="array" ref="A911">INDEX(Reference!$A$2:$A$18, INT((ROW()-2)/(18*3*2)) + 1)</f>
        <v>Davao Region</v>
      </c>
      <c r="B911" s="2" t="str">
        <f t="array" ref="B911">INDEX(Reference!$C$2:$C$19, MOD(ROW()-2, 18) + 1)</f>
        <v>....Accommodation and food service activities</v>
      </c>
      <c r="C911" s="1" t="str">
        <f t="shared" si="1"/>
        <v>Sub</v>
      </c>
      <c r="D911" s="1">
        <f t="shared" si="2"/>
        <v>2024</v>
      </c>
      <c r="E911" s="1" t="str">
        <f t="shared" si="3"/>
        <v>At Current Prices</v>
      </c>
      <c r="F911" s="3">
        <v>2.8006899E7</v>
      </c>
    </row>
    <row r="912" ht="15.75" customHeight="1">
      <c r="A912" s="1" t="str">
        <f t="array" ref="A912">INDEX(Reference!$A$2:$A$18, INT((ROW()-2)/(18*3*2)) + 1)</f>
        <v>Davao Region</v>
      </c>
      <c r="B912" s="2" t="str">
        <f t="array" ref="B912">INDEX(Reference!$C$2:$C$19, MOD(ROW()-2, 18) + 1)</f>
        <v>....Information and communication</v>
      </c>
      <c r="C912" s="1" t="str">
        <f t="shared" si="1"/>
        <v>Sub</v>
      </c>
      <c r="D912" s="1">
        <f t="shared" si="2"/>
        <v>2024</v>
      </c>
      <c r="E912" s="1" t="str">
        <f t="shared" si="3"/>
        <v>At Current Prices</v>
      </c>
      <c r="F912" s="3">
        <v>3.0051496E7</v>
      </c>
    </row>
    <row r="913" ht="15.75" customHeight="1">
      <c r="A913" s="1" t="str">
        <f t="array" ref="A913">INDEX(Reference!$A$2:$A$18, INT((ROW()-2)/(18*3*2)) + 1)</f>
        <v>Davao Region</v>
      </c>
      <c r="B913" s="2" t="str">
        <f t="array" ref="B913">INDEX(Reference!$C$2:$C$19, MOD(ROW()-2, 18) + 1)</f>
        <v>....Financial and insurance activities</v>
      </c>
      <c r="C913" s="1" t="str">
        <f t="shared" si="1"/>
        <v>Sub</v>
      </c>
      <c r="D913" s="1">
        <f t="shared" si="2"/>
        <v>2024</v>
      </c>
      <c r="E913" s="1" t="str">
        <f t="shared" si="3"/>
        <v>At Current Prices</v>
      </c>
      <c r="F913" s="3">
        <v>1.04845891E8</v>
      </c>
    </row>
    <row r="914" ht="15.75" customHeight="1">
      <c r="A914" s="1" t="str">
        <f t="array" ref="A914">INDEX(Reference!$A$2:$A$18, INT((ROW()-2)/(18*3*2)) + 1)</f>
        <v>Davao Region</v>
      </c>
      <c r="B914" s="2" t="str">
        <f t="array" ref="B914">INDEX(Reference!$C$2:$C$19, MOD(ROW()-2, 18) + 1)</f>
        <v>....Real estate and ownership of dwellings</v>
      </c>
      <c r="C914" s="1" t="str">
        <f t="shared" si="1"/>
        <v>Sub</v>
      </c>
      <c r="D914" s="1">
        <f t="shared" si="2"/>
        <v>2024</v>
      </c>
      <c r="E914" s="1" t="str">
        <f t="shared" si="3"/>
        <v>At Current Prices</v>
      </c>
      <c r="F914" s="3">
        <v>5.5804289E7</v>
      </c>
    </row>
    <row r="915" ht="15.75" customHeight="1">
      <c r="A915" s="1" t="str">
        <f t="array" ref="A915">INDEX(Reference!$A$2:$A$18, INT((ROW()-2)/(18*3*2)) + 1)</f>
        <v>Davao Region</v>
      </c>
      <c r="B915" s="2" t="str">
        <f t="array" ref="B915">INDEX(Reference!$C$2:$C$19, MOD(ROW()-2, 18) + 1)</f>
        <v>....Professional and business services</v>
      </c>
      <c r="C915" s="1" t="str">
        <f t="shared" si="1"/>
        <v>Sub</v>
      </c>
      <c r="D915" s="1">
        <f t="shared" si="2"/>
        <v>2024</v>
      </c>
      <c r="E915" s="1" t="str">
        <f t="shared" si="3"/>
        <v>At Current Prices</v>
      </c>
      <c r="F915" s="3">
        <v>5.4098752E7</v>
      </c>
    </row>
    <row r="916" ht="15.75" customHeight="1">
      <c r="A916" s="1" t="str">
        <f t="array" ref="A916">INDEX(Reference!$A$2:$A$18, INT((ROW()-2)/(18*3*2)) + 1)</f>
        <v>Davao Region</v>
      </c>
      <c r="B916" s="2" t="str">
        <f t="array" ref="B916">INDEX(Reference!$C$2:$C$19, MOD(ROW()-2, 18) + 1)</f>
        <v>....Public administration and defense; compulsory social activities</v>
      </c>
      <c r="C916" s="1" t="str">
        <f t="shared" si="1"/>
        <v>Sub</v>
      </c>
      <c r="D916" s="1">
        <f t="shared" si="2"/>
        <v>2024</v>
      </c>
      <c r="E916" s="1" t="str">
        <f t="shared" si="3"/>
        <v>At Current Prices</v>
      </c>
      <c r="F916" s="3">
        <v>4.2592503E7</v>
      </c>
    </row>
    <row r="917" ht="15.75" customHeight="1">
      <c r="A917" s="1" t="str">
        <f t="array" ref="A917">INDEX(Reference!$A$2:$A$18, INT((ROW()-2)/(18*3*2)) + 1)</f>
        <v>Davao Region</v>
      </c>
      <c r="B917" s="2" t="str">
        <f t="array" ref="B917">INDEX(Reference!$C$2:$C$19, MOD(ROW()-2, 18) + 1)</f>
        <v>....Education</v>
      </c>
      <c r="C917" s="1" t="str">
        <f t="shared" si="1"/>
        <v>Sub</v>
      </c>
      <c r="D917" s="1">
        <f t="shared" si="2"/>
        <v>2024</v>
      </c>
      <c r="E917" s="1" t="str">
        <f t="shared" si="3"/>
        <v>At Current Prices</v>
      </c>
      <c r="F917" s="3">
        <v>5.3263364E7</v>
      </c>
    </row>
    <row r="918" ht="15.75" customHeight="1">
      <c r="A918" s="1" t="str">
        <f t="array" ref="A918">INDEX(Reference!$A$2:$A$18, INT((ROW()-2)/(18*3*2)) + 1)</f>
        <v>Davao Region</v>
      </c>
      <c r="B918" s="2" t="str">
        <f t="array" ref="B918">INDEX(Reference!$C$2:$C$19, MOD(ROW()-2, 18) + 1)</f>
        <v>....Human health and social work activities</v>
      </c>
      <c r="C918" s="1" t="str">
        <f t="shared" si="1"/>
        <v>Sub</v>
      </c>
      <c r="D918" s="1">
        <f t="shared" si="2"/>
        <v>2024</v>
      </c>
      <c r="E918" s="1" t="str">
        <f t="shared" si="3"/>
        <v>At Current Prices</v>
      </c>
      <c r="F918" s="3">
        <v>4.2366288E7</v>
      </c>
    </row>
    <row r="919" ht="15.75" customHeight="1">
      <c r="A919" s="1" t="str">
        <f t="array" ref="A919">INDEX(Reference!$A$2:$A$18, INT((ROW()-2)/(18*3*2)) + 1)</f>
        <v>Davao Region</v>
      </c>
      <c r="B919" s="2" t="str">
        <f t="array" ref="B919">INDEX(Reference!$C$2:$C$19, MOD(ROW()-2, 18) + 1)</f>
        <v>....Other services</v>
      </c>
      <c r="C919" s="1" t="str">
        <f t="shared" si="1"/>
        <v>Sub</v>
      </c>
      <c r="D919" s="1">
        <f t="shared" si="2"/>
        <v>2024</v>
      </c>
      <c r="E919" s="1" t="str">
        <f t="shared" si="3"/>
        <v>At Current Prices</v>
      </c>
      <c r="F919" s="3">
        <v>1.9274872E7</v>
      </c>
    </row>
    <row r="920" ht="15.75" customHeight="1">
      <c r="A920" s="1" t="str">
        <f t="array" ref="A920">INDEX(Reference!$A$2:$A$18, INT((ROW()-2)/(18*3*2)) + 1)</f>
        <v>Davao Region</v>
      </c>
      <c r="B920" s="2" t="str">
        <f t="array" ref="B920">INDEX(Reference!$C$2:$C$19, MOD(ROW()-2, 18) + 1)</f>
        <v>..Agriculture, forestry, and fishing</v>
      </c>
      <c r="C920" s="1" t="str">
        <f t="shared" si="1"/>
        <v>Main</v>
      </c>
      <c r="D920" s="1">
        <f t="shared" si="2"/>
        <v>2022</v>
      </c>
      <c r="E920" s="1" t="str">
        <f t="shared" si="3"/>
        <v>At Constant 2018 Prices</v>
      </c>
      <c r="F920" s="3">
        <v>1.46368374E8</v>
      </c>
    </row>
    <row r="921" ht="15.75" customHeight="1">
      <c r="A921" s="1" t="str">
        <f t="array" ref="A921">INDEX(Reference!$A$2:$A$18, INT((ROW()-2)/(18*3*2)) + 1)</f>
        <v>Davao Region</v>
      </c>
      <c r="B921" s="2" t="str">
        <f t="array" ref="B921">INDEX(Reference!$C$2:$C$19, MOD(ROW()-2, 18) + 1)</f>
        <v>..Industry</v>
      </c>
      <c r="C921" s="1" t="str">
        <f t="shared" si="1"/>
        <v>Main</v>
      </c>
      <c r="D921" s="1">
        <f t="shared" si="2"/>
        <v>2022</v>
      </c>
      <c r="E921" s="1" t="str">
        <f t="shared" si="3"/>
        <v>At Constant 2018 Prices</v>
      </c>
      <c r="F921" s="3">
        <v>2.36582076E8</v>
      </c>
    </row>
    <row r="922" ht="15.75" customHeight="1">
      <c r="A922" s="1" t="str">
        <f t="array" ref="A922">INDEX(Reference!$A$2:$A$18, INT((ROW()-2)/(18*3*2)) + 1)</f>
        <v>Davao Region</v>
      </c>
      <c r="B922" s="2" t="str">
        <f t="array" ref="B922">INDEX(Reference!$C$2:$C$19, MOD(ROW()-2, 18) + 1)</f>
        <v>....Mining and quarrying</v>
      </c>
      <c r="C922" s="1" t="str">
        <f t="shared" si="1"/>
        <v>Sub</v>
      </c>
      <c r="D922" s="1">
        <f t="shared" si="2"/>
        <v>2022</v>
      </c>
      <c r="E922" s="1" t="str">
        <f t="shared" si="3"/>
        <v>At Constant 2018 Prices</v>
      </c>
      <c r="F922" s="3">
        <v>9379388.0</v>
      </c>
    </row>
    <row r="923" ht="15.75" customHeight="1">
      <c r="A923" s="1" t="str">
        <f t="array" ref="A923">INDEX(Reference!$A$2:$A$18, INT((ROW()-2)/(18*3*2)) + 1)</f>
        <v>Davao Region</v>
      </c>
      <c r="B923" s="2" t="str">
        <f t="array" ref="B923">INDEX(Reference!$C$2:$C$19, MOD(ROW()-2, 18) + 1)</f>
        <v>....Manufacturing</v>
      </c>
      <c r="C923" s="1" t="str">
        <f t="shared" si="1"/>
        <v>Sub</v>
      </c>
      <c r="D923" s="1">
        <f t="shared" si="2"/>
        <v>2022</v>
      </c>
      <c r="E923" s="1" t="str">
        <f t="shared" si="3"/>
        <v>At Constant 2018 Prices</v>
      </c>
      <c r="F923" s="3">
        <v>1.04399452E8</v>
      </c>
    </row>
    <row r="924" ht="15.75" customHeight="1">
      <c r="A924" s="1" t="str">
        <f t="array" ref="A924">INDEX(Reference!$A$2:$A$18, INT((ROW()-2)/(18*3*2)) + 1)</f>
        <v>Davao Region</v>
      </c>
      <c r="B924" s="2" t="str">
        <f t="array" ref="B924">INDEX(Reference!$C$2:$C$19, MOD(ROW()-2, 18) + 1)</f>
        <v>....Electricity, steam, water and waste management</v>
      </c>
      <c r="C924" s="1" t="str">
        <f t="shared" si="1"/>
        <v>Sub</v>
      </c>
      <c r="D924" s="1">
        <f t="shared" si="2"/>
        <v>2022</v>
      </c>
      <c r="E924" s="1" t="str">
        <f t="shared" si="3"/>
        <v>At Constant 2018 Prices</v>
      </c>
      <c r="F924" s="3">
        <v>2.5051029E7</v>
      </c>
    </row>
    <row r="925" ht="15.75" customHeight="1">
      <c r="A925" s="1" t="str">
        <f t="array" ref="A925">INDEX(Reference!$A$2:$A$18, INT((ROW()-2)/(18*3*2)) + 1)</f>
        <v>Davao Region</v>
      </c>
      <c r="B925" s="2" t="str">
        <f t="array" ref="B925">INDEX(Reference!$C$2:$C$19, MOD(ROW()-2, 18) + 1)</f>
        <v>....Construction</v>
      </c>
      <c r="C925" s="1" t="str">
        <f t="shared" si="1"/>
        <v>Sub</v>
      </c>
      <c r="D925" s="1">
        <f t="shared" si="2"/>
        <v>2022</v>
      </c>
      <c r="E925" s="1" t="str">
        <f t="shared" si="3"/>
        <v>At Constant 2018 Prices</v>
      </c>
      <c r="F925" s="3">
        <v>9.7752207E7</v>
      </c>
    </row>
    <row r="926" ht="15.75" customHeight="1">
      <c r="A926" s="1" t="str">
        <f t="array" ref="A926">INDEX(Reference!$A$2:$A$18, INT((ROW()-2)/(18*3*2)) + 1)</f>
        <v>Davao Region</v>
      </c>
      <c r="B926" s="2" t="str">
        <f t="array" ref="B926">INDEX(Reference!$C$2:$C$19, MOD(ROW()-2, 18) + 1)</f>
        <v>..Services</v>
      </c>
      <c r="C926" s="1" t="str">
        <f t="shared" si="1"/>
        <v>Main</v>
      </c>
      <c r="D926" s="1">
        <f t="shared" si="2"/>
        <v>2022</v>
      </c>
      <c r="E926" s="1" t="str">
        <f t="shared" si="3"/>
        <v>At Constant 2018 Prices</v>
      </c>
      <c r="F926" s="3">
        <v>5.71281971E8</v>
      </c>
    </row>
    <row r="927" ht="15.75" customHeight="1">
      <c r="A927" s="1" t="str">
        <f t="array" ref="A927">INDEX(Reference!$A$2:$A$18, INT((ROW()-2)/(18*3*2)) + 1)</f>
        <v>Davao Region</v>
      </c>
      <c r="B927" s="2" t="str">
        <f t="array" ref="B927">INDEX(Reference!$C$2:$C$19, MOD(ROW()-2, 18) + 1)</f>
        <v>....Wholesale and retail trade; repair of motor vehicles and motorcycles</v>
      </c>
      <c r="C927" s="1" t="str">
        <f t="shared" si="1"/>
        <v>Sub</v>
      </c>
      <c r="D927" s="1">
        <f t="shared" si="2"/>
        <v>2022</v>
      </c>
      <c r="E927" s="1" t="str">
        <f t="shared" si="3"/>
        <v>At Constant 2018 Prices</v>
      </c>
      <c r="F927" s="3">
        <v>2.30066992E8</v>
      </c>
    </row>
    <row r="928" ht="15.75" customHeight="1">
      <c r="A928" s="1" t="str">
        <f t="array" ref="A928">INDEX(Reference!$A$2:$A$18, INT((ROW()-2)/(18*3*2)) + 1)</f>
        <v>Davao Region</v>
      </c>
      <c r="B928" s="2" t="str">
        <f t="array" ref="B928">INDEX(Reference!$C$2:$C$19, MOD(ROW()-2, 18) + 1)</f>
        <v>....Transportation and storage</v>
      </c>
      <c r="C928" s="1" t="str">
        <f t="shared" si="1"/>
        <v>Sub</v>
      </c>
      <c r="D928" s="1">
        <f t="shared" si="2"/>
        <v>2022</v>
      </c>
      <c r="E928" s="1" t="str">
        <f t="shared" si="3"/>
        <v>At Constant 2018 Prices</v>
      </c>
      <c r="F928" s="3">
        <v>3.8523347E7</v>
      </c>
    </row>
    <row r="929" ht="15.75" customHeight="1">
      <c r="A929" s="1" t="str">
        <f t="array" ref="A929">INDEX(Reference!$A$2:$A$18, INT((ROW()-2)/(18*3*2)) + 1)</f>
        <v>Davao Region</v>
      </c>
      <c r="B929" s="2" t="str">
        <f t="array" ref="B929">INDEX(Reference!$C$2:$C$19, MOD(ROW()-2, 18) + 1)</f>
        <v>....Accommodation and food service activities</v>
      </c>
      <c r="C929" s="1" t="str">
        <f t="shared" si="1"/>
        <v>Sub</v>
      </c>
      <c r="D929" s="1">
        <f t="shared" si="2"/>
        <v>2022</v>
      </c>
      <c r="E929" s="1" t="str">
        <f t="shared" si="3"/>
        <v>At Constant 2018 Prices</v>
      </c>
      <c r="F929" s="3">
        <v>1.7431984E7</v>
      </c>
    </row>
    <row r="930" ht="15.75" customHeight="1">
      <c r="A930" s="1" t="str">
        <f t="array" ref="A930">INDEX(Reference!$A$2:$A$18, INT((ROW()-2)/(18*3*2)) + 1)</f>
        <v>Davao Region</v>
      </c>
      <c r="B930" s="2" t="str">
        <f t="array" ref="B930">INDEX(Reference!$C$2:$C$19, MOD(ROW()-2, 18) + 1)</f>
        <v>....Information and communication</v>
      </c>
      <c r="C930" s="1" t="str">
        <f t="shared" si="1"/>
        <v>Sub</v>
      </c>
      <c r="D930" s="1">
        <f t="shared" si="2"/>
        <v>2022</v>
      </c>
      <c r="E930" s="1" t="str">
        <f t="shared" si="3"/>
        <v>At Constant 2018 Prices</v>
      </c>
      <c r="F930" s="3">
        <v>2.4817156E7</v>
      </c>
    </row>
    <row r="931" ht="15.75" customHeight="1">
      <c r="A931" s="1" t="str">
        <f t="array" ref="A931">INDEX(Reference!$A$2:$A$18, INT((ROW()-2)/(18*3*2)) + 1)</f>
        <v>Davao Region</v>
      </c>
      <c r="B931" s="2" t="str">
        <f t="array" ref="B931">INDEX(Reference!$C$2:$C$19, MOD(ROW()-2, 18) + 1)</f>
        <v>....Financial and insurance activities</v>
      </c>
      <c r="C931" s="1" t="str">
        <f t="shared" si="1"/>
        <v>Sub</v>
      </c>
      <c r="D931" s="1">
        <f t="shared" si="2"/>
        <v>2022</v>
      </c>
      <c r="E931" s="1" t="str">
        <f t="shared" si="3"/>
        <v>At Constant 2018 Prices</v>
      </c>
      <c r="F931" s="3">
        <v>6.8290398E7</v>
      </c>
    </row>
    <row r="932" ht="15.75" customHeight="1">
      <c r="A932" s="1" t="str">
        <f t="array" ref="A932">INDEX(Reference!$A$2:$A$18, INT((ROW()-2)/(18*3*2)) + 1)</f>
        <v>Davao Region</v>
      </c>
      <c r="B932" s="2" t="str">
        <f t="array" ref="B932">INDEX(Reference!$C$2:$C$19, MOD(ROW()-2, 18) + 1)</f>
        <v>....Real estate and ownership of dwellings</v>
      </c>
      <c r="C932" s="1" t="str">
        <f t="shared" si="1"/>
        <v>Sub</v>
      </c>
      <c r="D932" s="1">
        <f t="shared" si="2"/>
        <v>2022</v>
      </c>
      <c r="E932" s="1" t="str">
        <f t="shared" si="3"/>
        <v>At Constant 2018 Prices</v>
      </c>
      <c r="F932" s="3">
        <v>4.07288E7</v>
      </c>
    </row>
    <row r="933" ht="15.75" customHeight="1">
      <c r="A933" s="1" t="str">
        <f t="array" ref="A933">INDEX(Reference!$A$2:$A$18, INT((ROW()-2)/(18*3*2)) + 1)</f>
        <v>Davao Region</v>
      </c>
      <c r="B933" s="2" t="str">
        <f t="array" ref="B933">INDEX(Reference!$C$2:$C$19, MOD(ROW()-2, 18) + 1)</f>
        <v>....Professional and business services</v>
      </c>
      <c r="C933" s="1" t="str">
        <f t="shared" si="1"/>
        <v>Sub</v>
      </c>
      <c r="D933" s="1">
        <f t="shared" si="2"/>
        <v>2022</v>
      </c>
      <c r="E933" s="1" t="str">
        <f t="shared" si="3"/>
        <v>At Constant 2018 Prices</v>
      </c>
      <c r="F933" s="3">
        <v>4.1334161E7</v>
      </c>
    </row>
    <row r="934" ht="15.75" customHeight="1">
      <c r="A934" s="1" t="str">
        <f t="array" ref="A934">INDEX(Reference!$A$2:$A$18, INT((ROW()-2)/(18*3*2)) + 1)</f>
        <v>Davao Region</v>
      </c>
      <c r="B934" s="2" t="str">
        <f t="array" ref="B934">INDEX(Reference!$C$2:$C$19, MOD(ROW()-2, 18) + 1)</f>
        <v>....Public administration and defense; compulsory social activities</v>
      </c>
      <c r="C934" s="1" t="str">
        <f t="shared" si="1"/>
        <v>Sub</v>
      </c>
      <c r="D934" s="1">
        <f t="shared" si="2"/>
        <v>2022</v>
      </c>
      <c r="E934" s="1" t="str">
        <f t="shared" si="3"/>
        <v>At Constant 2018 Prices</v>
      </c>
      <c r="F934" s="3">
        <v>3.186487E7</v>
      </c>
    </row>
    <row r="935" ht="15.75" customHeight="1">
      <c r="A935" s="1" t="str">
        <f t="array" ref="A935">INDEX(Reference!$A$2:$A$18, INT((ROW()-2)/(18*3*2)) + 1)</f>
        <v>Davao Region</v>
      </c>
      <c r="B935" s="2" t="str">
        <f t="array" ref="B935">INDEX(Reference!$C$2:$C$19, MOD(ROW()-2, 18) + 1)</f>
        <v>....Education</v>
      </c>
      <c r="C935" s="1" t="str">
        <f t="shared" si="1"/>
        <v>Sub</v>
      </c>
      <c r="D935" s="1">
        <f t="shared" si="2"/>
        <v>2022</v>
      </c>
      <c r="E935" s="1" t="str">
        <f t="shared" si="3"/>
        <v>At Constant 2018 Prices</v>
      </c>
      <c r="F935" s="3">
        <v>3.8492057E7</v>
      </c>
    </row>
    <row r="936" ht="15.75" customHeight="1">
      <c r="A936" s="1" t="str">
        <f t="array" ref="A936">INDEX(Reference!$A$2:$A$18, INT((ROW()-2)/(18*3*2)) + 1)</f>
        <v>Davao Region</v>
      </c>
      <c r="B936" s="2" t="str">
        <f t="array" ref="B936">INDEX(Reference!$C$2:$C$19, MOD(ROW()-2, 18) + 1)</f>
        <v>....Human health and social work activities</v>
      </c>
      <c r="C936" s="1" t="str">
        <f t="shared" si="1"/>
        <v>Sub</v>
      </c>
      <c r="D936" s="1">
        <f t="shared" si="2"/>
        <v>2022</v>
      </c>
      <c r="E936" s="1" t="str">
        <f t="shared" si="3"/>
        <v>At Constant 2018 Prices</v>
      </c>
      <c r="F936" s="3">
        <v>2.8776574E7</v>
      </c>
    </row>
    <row r="937" ht="15.75" customHeight="1">
      <c r="A937" s="1" t="str">
        <f t="array" ref="A937">INDEX(Reference!$A$2:$A$18, INT((ROW()-2)/(18*3*2)) + 1)</f>
        <v>Davao Region</v>
      </c>
      <c r="B937" s="2" t="str">
        <f t="array" ref="B937">INDEX(Reference!$C$2:$C$19, MOD(ROW()-2, 18) + 1)</f>
        <v>....Other services</v>
      </c>
      <c r="C937" s="1" t="str">
        <f t="shared" si="1"/>
        <v>Sub</v>
      </c>
      <c r="D937" s="1">
        <f t="shared" si="2"/>
        <v>2022</v>
      </c>
      <c r="E937" s="1" t="str">
        <f t="shared" si="3"/>
        <v>At Constant 2018 Prices</v>
      </c>
      <c r="F937" s="3">
        <v>1.0955632E7</v>
      </c>
    </row>
    <row r="938" ht="15.75" customHeight="1">
      <c r="A938" s="1" t="str">
        <f t="array" ref="A938">INDEX(Reference!$A$2:$A$18, INT((ROW()-2)/(18*3*2)) + 1)</f>
        <v>Davao Region</v>
      </c>
      <c r="B938" s="2" t="str">
        <f t="array" ref="B938">INDEX(Reference!$C$2:$C$19, MOD(ROW()-2, 18) + 1)</f>
        <v>..Agriculture, forestry, and fishing</v>
      </c>
      <c r="C938" s="1" t="str">
        <f t="shared" si="1"/>
        <v>Main</v>
      </c>
      <c r="D938" s="1">
        <f t="shared" si="2"/>
        <v>2023</v>
      </c>
      <c r="E938" s="1" t="str">
        <f t="shared" si="3"/>
        <v>At Constant 2018 Prices</v>
      </c>
      <c r="F938" s="3">
        <v>1.47452956E8</v>
      </c>
    </row>
    <row r="939" ht="15.75" customHeight="1">
      <c r="A939" s="1" t="str">
        <f t="array" ref="A939">INDEX(Reference!$A$2:$A$18, INT((ROW()-2)/(18*3*2)) + 1)</f>
        <v>Davao Region</v>
      </c>
      <c r="B939" s="2" t="str">
        <f t="array" ref="B939">INDEX(Reference!$C$2:$C$19, MOD(ROW()-2, 18) + 1)</f>
        <v>..Industry</v>
      </c>
      <c r="C939" s="1" t="str">
        <f t="shared" si="1"/>
        <v>Main</v>
      </c>
      <c r="D939" s="1">
        <f t="shared" si="2"/>
        <v>2023</v>
      </c>
      <c r="E939" s="1" t="str">
        <f t="shared" si="3"/>
        <v>At Constant 2018 Prices</v>
      </c>
      <c r="F939" s="3">
        <v>2.51033424E8</v>
      </c>
    </row>
    <row r="940" ht="15.75" customHeight="1">
      <c r="A940" s="1" t="str">
        <f t="array" ref="A940">INDEX(Reference!$A$2:$A$18, INT((ROW()-2)/(18*3*2)) + 1)</f>
        <v>Davao Region</v>
      </c>
      <c r="B940" s="2" t="str">
        <f t="array" ref="B940">INDEX(Reference!$C$2:$C$19, MOD(ROW()-2, 18) + 1)</f>
        <v>....Mining and quarrying</v>
      </c>
      <c r="C940" s="1" t="str">
        <f t="shared" si="1"/>
        <v>Sub</v>
      </c>
      <c r="D940" s="1">
        <f t="shared" si="2"/>
        <v>2023</v>
      </c>
      <c r="E940" s="1" t="str">
        <f t="shared" si="3"/>
        <v>At Constant 2018 Prices</v>
      </c>
      <c r="F940" s="3">
        <v>1.000832E7</v>
      </c>
    </row>
    <row r="941" ht="15.75" customHeight="1">
      <c r="A941" s="1" t="str">
        <f t="array" ref="A941">INDEX(Reference!$A$2:$A$18, INT((ROW()-2)/(18*3*2)) + 1)</f>
        <v>Davao Region</v>
      </c>
      <c r="B941" s="2" t="str">
        <f t="array" ref="B941">INDEX(Reference!$C$2:$C$19, MOD(ROW()-2, 18) + 1)</f>
        <v>....Manufacturing</v>
      </c>
      <c r="C941" s="1" t="str">
        <f t="shared" si="1"/>
        <v>Sub</v>
      </c>
      <c r="D941" s="1">
        <f t="shared" si="2"/>
        <v>2023</v>
      </c>
      <c r="E941" s="1" t="str">
        <f t="shared" si="3"/>
        <v>At Constant 2018 Prices</v>
      </c>
      <c r="F941" s="3">
        <v>1.07709303E8</v>
      </c>
    </row>
    <row r="942" ht="15.75" customHeight="1">
      <c r="A942" s="1" t="str">
        <f t="array" ref="A942">INDEX(Reference!$A$2:$A$18, INT((ROW()-2)/(18*3*2)) + 1)</f>
        <v>Davao Region</v>
      </c>
      <c r="B942" s="2" t="str">
        <f t="array" ref="B942">INDEX(Reference!$C$2:$C$19, MOD(ROW()-2, 18) + 1)</f>
        <v>....Electricity, steam, water and waste management</v>
      </c>
      <c r="C942" s="1" t="str">
        <f t="shared" si="1"/>
        <v>Sub</v>
      </c>
      <c r="D942" s="1">
        <f t="shared" si="2"/>
        <v>2023</v>
      </c>
      <c r="E942" s="1" t="str">
        <f t="shared" si="3"/>
        <v>At Constant 2018 Prices</v>
      </c>
      <c r="F942" s="3">
        <v>2.5726642E7</v>
      </c>
    </row>
    <row r="943" ht="15.75" customHeight="1">
      <c r="A943" s="1" t="str">
        <f t="array" ref="A943">INDEX(Reference!$A$2:$A$18, INT((ROW()-2)/(18*3*2)) + 1)</f>
        <v>Davao Region</v>
      </c>
      <c r="B943" s="2" t="str">
        <f t="array" ref="B943">INDEX(Reference!$C$2:$C$19, MOD(ROW()-2, 18) + 1)</f>
        <v>....Construction</v>
      </c>
      <c r="C943" s="1" t="str">
        <f t="shared" si="1"/>
        <v>Sub</v>
      </c>
      <c r="D943" s="1">
        <f t="shared" si="2"/>
        <v>2023</v>
      </c>
      <c r="E943" s="1" t="str">
        <f t="shared" si="3"/>
        <v>At Constant 2018 Prices</v>
      </c>
      <c r="F943" s="3">
        <v>1.07589159E8</v>
      </c>
    </row>
    <row r="944" ht="15.75" customHeight="1">
      <c r="A944" s="1" t="str">
        <f t="array" ref="A944">INDEX(Reference!$A$2:$A$18, INT((ROW()-2)/(18*3*2)) + 1)</f>
        <v>Davao Region</v>
      </c>
      <c r="B944" s="2" t="str">
        <f t="array" ref="B944">INDEX(Reference!$C$2:$C$19, MOD(ROW()-2, 18) + 1)</f>
        <v>..Services</v>
      </c>
      <c r="C944" s="1" t="str">
        <f t="shared" si="1"/>
        <v>Main</v>
      </c>
      <c r="D944" s="1">
        <f t="shared" si="2"/>
        <v>2023</v>
      </c>
      <c r="E944" s="1" t="str">
        <f t="shared" si="3"/>
        <v>At Constant 2018 Prices</v>
      </c>
      <c r="F944" s="3">
        <v>6.19741034E8</v>
      </c>
    </row>
    <row r="945" ht="15.75" customHeight="1">
      <c r="A945" s="1" t="str">
        <f t="array" ref="A945">INDEX(Reference!$A$2:$A$18, INT((ROW()-2)/(18*3*2)) + 1)</f>
        <v>Davao Region</v>
      </c>
      <c r="B945" s="2" t="str">
        <f t="array" ref="B945">INDEX(Reference!$C$2:$C$19, MOD(ROW()-2, 18) + 1)</f>
        <v>....Wholesale and retail trade; repair of motor vehicles and motorcycles</v>
      </c>
      <c r="C945" s="1" t="str">
        <f t="shared" si="1"/>
        <v>Sub</v>
      </c>
      <c r="D945" s="1">
        <f t="shared" si="2"/>
        <v>2023</v>
      </c>
      <c r="E945" s="1" t="str">
        <f t="shared" si="3"/>
        <v>At Constant 2018 Prices</v>
      </c>
      <c r="F945" s="3">
        <v>2.47224474E8</v>
      </c>
    </row>
    <row r="946" ht="15.75" customHeight="1">
      <c r="A946" s="1" t="str">
        <f t="array" ref="A946">INDEX(Reference!$A$2:$A$18, INT((ROW()-2)/(18*3*2)) + 1)</f>
        <v>Davao Region</v>
      </c>
      <c r="B946" s="2" t="str">
        <f t="array" ref="B946">INDEX(Reference!$C$2:$C$19, MOD(ROW()-2, 18) + 1)</f>
        <v>....Transportation and storage</v>
      </c>
      <c r="C946" s="1" t="str">
        <f t="shared" si="1"/>
        <v>Sub</v>
      </c>
      <c r="D946" s="1">
        <f t="shared" si="2"/>
        <v>2023</v>
      </c>
      <c r="E946" s="1" t="str">
        <f t="shared" si="3"/>
        <v>At Constant 2018 Prices</v>
      </c>
      <c r="F946" s="3">
        <v>4.3612584E7</v>
      </c>
    </row>
    <row r="947" ht="15.75" customHeight="1">
      <c r="A947" s="1" t="str">
        <f t="array" ref="A947">INDEX(Reference!$A$2:$A$18, INT((ROW()-2)/(18*3*2)) + 1)</f>
        <v>Davao Region</v>
      </c>
      <c r="B947" s="2" t="str">
        <f t="array" ref="B947">INDEX(Reference!$C$2:$C$19, MOD(ROW()-2, 18) + 1)</f>
        <v>....Accommodation and food service activities</v>
      </c>
      <c r="C947" s="1" t="str">
        <f t="shared" si="1"/>
        <v>Sub</v>
      </c>
      <c r="D947" s="1">
        <f t="shared" si="2"/>
        <v>2023</v>
      </c>
      <c r="E947" s="1" t="str">
        <f t="shared" si="3"/>
        <v>At Constant 2018 Prices</v>
      </c>
      <c r="F947" s="3">
        <v>2.0339159E7</v>
      </c>
    </row>
    <row r="948" ht="15.75" customHeight="1">
      <c r="A948" s="1" t="str">
        <f t="array" ref="A948">INDEX(Reference!$A$2:$A$18, INT((ROW()-2)/(18*3*2)) + 1)</f>
        <v>Davao Region</v>
      </c>
      <c r="B948" s="2" t="str">
        <f t="array" ref="B948">INDEX(Reference!$C$2:$C$19, MOD(ROW()-2, 18) + 1)</f>
        <v>....Information and communication</v>
      </c>
      <c r="C948" s="1" t="str">
        <f t="shared" si="1"/>
        <v>Sub</v>
      </c>
      <c r="D948" s="1">
        <f t="shared" si="2"/>
        <v>2023</v>
      </c>
      <c r="E948" s="1" t="str">
        <f t="shared" si="3"/>
        <v>At Constant 2018 Prices</v>
      </c>
      <c r="F948" s="3">
        <v>2.6223298E7</v>
      </c>
    </row>
    <row r="949" ht="15.75" customHeight="1">
      <c r="A949" s="1" t="str">
        <f t="array" ref="A949">INDEX(Reference!$A$2:$A$18, INT((ROW()-2)/(18*3*2)) + 1)</f>
        <v>Davao Region</v>
      </c>
      <c r="B949" s="2" t="str">
        <f t="array" ref="B949">INDEX(Reference!$C$2:$C$19, MOD(ROW()-2, 18) + 1)</f>
        <v>....Financial and insurance activities</v>
      </c>
      <c r="C949" s="1" t="str">
        <f t="shared" si="1"/>
        <v>Sub</v>
      </c>
      <c r="D949" s="1">
        <f t="shared" si="2"/>
        <v>2023</v>
      </c>
      <c r="E949" s="1" t="str">
        <f t="shared" si="3"/>
        <v>At Constant 2018 Prices</v>
      </c>
      <c r="F949" s="3">
        <v>7.6222128E7</v>
      </c>
    </row>
    <row r="950" ht="15.75" customHeight="1">
      <c r="A950" s="1" t="str">
        <f t="array" ref="A950">INDEX(Reference!$A$2:$A$18, INT((ROW()-2)/(18*3*2)) + 1)</f>
        <v>Davao Region</v>
      </c>
      <c r="B950" s="2" t="str">
        <f t="array" ref="B950">INDEX(Reference!$C$2:$C$19, MOD(ROW()-2, 18) + 1)</f>
        <v>....Real estate and ownership of dwellings</v>
      </c>
      <c r="C950" s="1" t="str">
        <f t="shared" si="1"/>
        <v>Sub</v>
      </c>
      <c r="D950" s="1">
        <f t="shared" si="2"/>
        <v>2023</v>
      </c>
      <c r="E950" s="1" t="str">
        <f t="shared" si="3"/>
        <v>At Constant 2018 Prices</v>
      </c>
      <c r="F950" s="3">
        <v>4.1938918E7</v>
      </c>
    </row>
    <row r="951" ht="15.75" customHeight="1">
      <c r="A951" s="1" t="str">
        <f t="array" ref="A951">INDEX(Reference!$A$2:$A$18, INT((ROW()-2)/(18*3*2)) + 1)</f>
        <v>Davao Region</v>
      </c>
      <c r="B951" s="2" t="str">
        <f t="array" ref="B951">INDEX(Reference!$C$2:$C$19, MOD(ROW()-2, 18) + 1)</f>
        <v>....Professional and business services</v>
      </c>
      <c r="C951" s="1" t="str">
        <f t="shared" si="1"/>
        <v>Sub</v>
      </c>
      <c r="D951" s="1">
        <f t="shared" si="2"/>
        <v>2023</v>
      </c>
      <c r="E951" s="1" t="str">
        <f t="shared" si="3"/>
        <v>At Constant 2018 Prices</v>
      </c>
      <c r="F951" s="3">
        <v>4.5538297E7</v>
      </c>
    </row>
    <row r="952" ht="15.75" customHeight="1">
      <c r="A952" s="1" t="str">
        <f t="array" ref="A952">INDEX(Reference!$A$2:$A$18, INT((ROW()-2)/(18*3*2)) + 1)</f>
        <v>Davao Region</v>
      </c>
      <c r="B952" s="2" t="str">
        <f t="array" ref="B952">INDEX(Reference!$C$2:$C$19, MOD(ROW()-2, 18) + 1)</f>
        <v>....Public administration and defense; compulsory social activities</v>
      </c>
      <c r="C952" s="1" t="str">
        <f t="shared" si="1"/>
        <v>Sub</v>
      </c>
      <c r="D952" s="1">
        <f t="shared" si="2"/>
        <v>2023</v>
      </c>
      <c r="E952" s="1" t="str">
        <f t="shared" si="3"/>
        <v>At Constant 2018 Prices</v>
      </c>
      <c r="F952" s="3">
        <v>3.3861856E7</v>
      </c>
    </row>
    <row r="953" ht="15.75" customHeight="1">
      <c r="A953" s="1" t="str">
        <f t="array" ref="A953">INDEX(Reference!$A$2:$A$18, INT((ROW()-2)/(18*3*2)) + 1)</f>
        <v>Davao Region</v>
      </c>
      <c r="B953" s="2" t="str">
        <f t="array" ref="B953">INDEX(Reference!$C$2:$C$19, MOD(ROW()-2, 18) + 1)</f>
        <v>....Education</v>
      </c>
      <c r="C953" s="1" t="str">
        <f t="shared" si="1"/>
        <v>Sub</v>
      </c>
      <c r="D953" s="1">
        <f t="shared" si="2"/>
        <v>2023</v>
      </c>
      <c r="E953" s="1" t="str">
        <f t="shared" si="3"/>
        <v>At Constant 2018 Prices</v>
      </c>
      <c r="F953" s="3">
        <v>4.0983248E7</v>
      </c>
    </row>
    <row r="954" ht="15.75" customHeight="1">
      <c r="A954" s="1" t="str">
        <f t="array" ref="A954">INDEX(Reference!$A$2:$A$18, INT((ROW()-2)/(18*3*2)) + 1)</f>
        <v>Davao Region</v>
      </c>
      <c r="B954" s="2" t="str">
        <f t="array" ref="B954">INDEX(Reference!$C$2:$C$19, MOD(ROW()-2, 18) + 1)</f>
        <v>....Human health and social work activities</v>
      </c>
      <c r="C954" s="1" t="str">
        <f t="shared" si="1"/>
        <v>Sub</v>
      </c>
      <c r="D954" s="1">
        <f t="shared" si="2"/>
        <v>2023</v>
      </c>
      <c r="E954" s="1" t="str">
        <f t="shared" si="3"/>
        <v>At Constant 2018 Prices</v>
      </c>
      <c r="F954" s="3">
        <v>3.0513732E7</v>
      </c>
    </row>
    <row r="955" ht="15.75" customHeight="1">
      <c r="A955" s="1" t="str">
        <f t="array" ref="A955">INDEX(Reference!$A$2:$A$18, INT((ROW()-2)/(18*3*2)) + 1)</f>
        <v>Davao Region</v>
      </c>
      <c r="B955" s="2" t="str">
        <f t="array" ref="B955">INDEX(Reference!$C$2:$C$19, MOD(ROW()-2, 18) + 1)</f>
        <v>....Other services</v>
      </c>
      <c r="C955" s="1" t="str">
        <f t="shared" si="1"/>
        <v>Sub</v>
      </c>
      <c r="D955" s="1">
        <f t="shared" si="2"/>
        <v>2023</v>
      </c>
      <c r="E955" s="1" t="str">
        <f t="shared" si="3"/>
        <v>At Constant 2018 Prices</v>
      </c>
      <c r="F955" s="3">
        <v>1.328334E7</v>
      </c>
    </row>
    <row r="956" ht="15.75" customHeight="1">
      <c r="A956" s="1" t="str">
        <f t="array" ref="A956">INDEX(Reference!$A$2:$A$18, INT((ROW()-2)/(18*3*2)) + 1)</f>
        <v>Davao Region</v>
      </c>
      <c r="B956" s="2" t="str">
        <f t="array" ref="B956">INDEX(Reference!$C$2:$C$19, MOD(ROW()-2, 18) + 1)</f>
        <v>..Agriculture, forestry, and fishing</v>
      </c>
      <c r="C956" s="1" t="str">
        <f t="shared" si="1"/>
        <v>Main</v>
      </c>
      <c r="D956" s="1">
        <f t="shared" si="2"/>
        <v>2024</v>
      </c>
      <c r="E956" s="1" t="str">
        <f t="shared" si="3"/>
        <v>At Constant 2018 Prices</v>
      </c>
      <c r="F956" s="3">
        <v>1.46932316E8</v>
      </c>
    </row>
    <row r="957" ht="15.75" customHeight="1">
      <c r="A957" s="1" t="str">
        <f t="array" ref="A957">INDEX(Reference!$A$2:$A$18, INT((ROW()-2)/(18*3*2)) + 1)</f>
        <v>Davao Region</v>
      </c>
      <c r="B957" s="2" t="str">
        <f t="array" ref="B957">INDEX(Reference!$C$2:$C$19, MOD(ROW()-2, 18) + 1)</f>
        <v>..Industry</v>
      </c>
      <c r="C957" s="1" t="str">
        <f t="shared" si="1"/>
        <v>Main</v>
      </c>
      <c r="D957" s="1">
        <f t="shared" si="2"/>
        <v>2024</v>
      </c>
      <c r="E957" s="1" t="str">
        <f t="shared" si="3"/>
        <v>At Constant 2018 Prices</v>
      </c>
      <c r="F957" s="3">
        <v>2.73936316E8</v>
      </c>
    </row>
    <row r="958" ht="15.75" customHeight="1">
      <c r="A958" s="1" t="str">
        <f t="array" ref="A958">INDEX(Reference!$A$2:$A$18, INT((ROW()-2)/(18*3*2)) + 1)</f>
        <v>Davao Region</v>
      </c>
      <c r="B958" s="2" t="str">
        <f t="array" ref="B958">INDEX(Reference!$C$2:$C$19, MOD(ROW()-2, 18) + 1)</f>
        <v>....Mining and quarrying</v>
      </c>
      <c r="C958" s="1" t="str">
        <f t="shared" si="1"/>
        <v>Sub</v>
      </c>
      <c r="D958" s="1">
        <f t="shared" si="2"/>
        <v>2024</v>
      </c>
      <c r="E958" s="1" t="str">
        <f t="shared" si="3"/>
        <v>At Constant 2018 Prices</v>
      </c>
      <c r="F958" s="3">
        <v>1.0454332E7</v>
      </c>
    </row>
    <row r="959" ht="15.75" customHeight="1">
      <c r="A959" s="1" t="str">
        <f t="array" ref="A959">INDEX(Reference!$A$2:$A$18, INT((ROW()-2)/(18*3*2)) + 1)</f>
        <v>Davao Region</v>
      </c>
      <c r="B959" s="2" t="str">
        <f t="array" ref="B959">INDEX(Reference!$C$2:$C$19, MOD(ROW()-2, 18) + 1)</f>
        <v>....Manufacturing</v>
      </c>
      <c r="C959" s="1" t="str">
        <f t="shared" si="1"/>
        <v>Sub</v>
      </c>
      <c r="D959" s="1">
        <f t="shared" si="2"/>
        <v>2024</v>
      </c>
      <c r="E959" s="1" t="str">
        <f t="shared" si="3"/>
        <v>At Constant 2018 Prices</v>
      </c>
      <c r="F959" s="3">
        <v>1.11484215E8</v>
      </c>
    </row>
    <row r="960" ht="15.75" customHeight="1">
      <c r="A960" s="1" t="str">
        <f t="array" ref="A960">INDEX(Reference!$A$2:$A$18, INT((ROW()-2)/(18*3*2)) + 1)</f>
        <v>Davao Region</v>
      </c>
      <c r="B960" s="2" t="str">
        <f t="array" ref="B960">INDEX(Reference!$C$2:$C$19, MOD(ROW()-2, 18) + 1)</f>
        <v>....Electricity, steam, water and waste management</v>
      </c>
      <c r="C960" s="1" t="str">
        <f t="shared" si="1"/>
        <v>Sub</v>
      </c>
      <c r="D960" s="1">
        <f t="shared" si="2"/>
        <v>2024</v>
      </c>
      <c r="E960" s="1" t="str">
        <f t="shared" si="3"/>
        <v>At Constant 2018 Prices</v>
      </c>
      <c r="F960" s="3">
        <v>2.7713612E7</v>
      </c>
    </row>
    <row r="961" ht="15.75" customHeight="1">
      <c r="A961" s="1" t="str">
        <f t="array" ref="A961">INDEX(Reference!$A$2:$A$18, INT((ROW()-2)/(18*3*2)) + 1)</f>
        <v>Davao Region</v>
      </c>
      <c r="B961" s="2" t="str">
        <f t="array" ref="B961">INDEX(Reference!$C$2:$C$19, MOD(ROW()-2, 18) + 1)</f>
        <v>....Construction</v>
      </c>
      <c r="C961" s="1" t="str">
        <f t="shared" si="1"/>
        <v>Sub</v>
      </c>
      <c r="D961" s="1">
        <f t="shared" si="2"/>
        <v>2024</v>
      </c>
      <c r="E961" s="1" t="str">
        <f t="shared" si="3"/>
        <v>At Constant 2018 Prices</v>
      </c>
      <c r="F961" s="3">
        <v>1.24284157E8</v>
      </c>
    </row>
    <row r="962" ht="15.75" customHeight="1">
      <c r="A962" s="1" t="str">
        <f t="array" ref="A962">INDEX(Reference!$A$2:$A$18, INT((ROW()-2)/(18*3*2)) + 1)</f>
        <v>Davao Region</v>
      </c>
      <c r="B962" s="2" t="str">
        <f t="array" ref="B962">INDEX(Reference!$C$2:$C$19, MOD(ROW()-2, 18) + 1)</f>
        <v>..Services</v>
      </c>
      <c r="C962" s="1" t="str">
        <f t="shared" si="1"/>
        <v>Main</v>
      </c>
      <c r="D962" s="1">
        <f t="shared" si="2"/>
        <v>2024</v>
      </c>
      <c r="E962" s="1" t="str">
        <f t="shared" si="3"/>
        <v>At Constant 2018 Prices</v>
      </c>
      <c r="F962" s="3">
        <v>6.61623824E8</v>
      </c>
    </row>
    <row r="963" ht="15.75" customHeight="1">
      <c r="A963" s="1" t="str">
        <f t="array" ref="A963">INDEX(Reference!$A$2:$A$18, INT((ROW()-2)/(18*3*2)) + 1)</f>
        <v>Davao Region</v>
      </c>
      <c r="B963" s="2" t="str">
        <f t="array" ref="B963">INDEX(Reference!$C$2:$C$19, MOD(ROW()-2, 18) + 1)</f>
        <v>....Wholesale and retail trade; repair of motor vehicles and motorcycles</v>
      </c>
      <c r="C963" s="1" t="str">
        <f t="shared" si="1"/>
        <v>Sub</v>
      </c>
      <c r="D963" s="1">
        <f t="shared" si="2"/>
        <v>2024</v>
      </c>
      <c r="E963" s="1" t="str">
        <f t="shared" si="3"/>
        <v>At Constant 2018 Prices</v>
      </c>
      <c r="F963" s="3">
        <v>2.59107637E8</v>
      </c>
    </row>
    <row r="964" ht="15.75" customHeight="1">
      <c r="A964" s="1" t="str">
        <f t="array" ref="A964">INDEX(Reference!$A$2:$A$18, INT((ROW()-2)/(18*3*2)) + 1)</f>
        <v>Davao Region</v>
      </c>
      <c r="B964" s="2" t="str">
        <f t="array" ref="B964">INDEX(Reference!$C$2:$C$19, MOD(ROW()-2, 18) + 1)</f>
        <v>....Transportation and storage</v>
      </c>
      <c r="C964" s="1" t="str">
        <f t="shared" si="1"/>
        <v>Sub</v>
      </c>
      <c r="D964" s="1">
        <f t="shared" si="2"/>
        <v>2024</v>
      </c>
      <c r="E964" s="1" t="str">
        <f t="shared" si="3"/>
        <v>At Constant 2018 Prices</v>
      </c>
      <c r="F964" s="3">
        <v>4.8170179E7</v>
      </c>
    </row>
    <row r="965" ht="15.75" customHeight="1">
      <c r="A965" s="1" t="str">
        <f t="array" ref="A965">INDEX(Reference!$A$2:$A$18, INT((ROW()-2)/(18*3*2)) + 1)</f>
        <v>Davao Region</v>
      </c>
      <c r="B965" s="2" t="str">
        <f t="array" ref="B965">INDEX(Reference!$C$2:$C$19, MOD(ROW()-2, 18) + 1)</f>
        <v>....Accommodation and food service activities</v>
      </c>
      <c r="C965" s="1" t="str">
        <f t="shared" si="1"/>
        <v>Sub</v>
      </c>
      <c r="D965" s="1">
        <f t="shared" si="2"/>
        <v>2024</v>
      </c>
      <c r="E965" s="1" t="str">
        <f t="shared" si="3"/>
        <v>At Constant 2018 Prices</v>
      </c>
      <c r="F965" s="3">
        <v>2.2189305E7</v>
      </c>
    </row>
    <row r="966" ht="15.75" customHeight="1">
      <c r="A966" s="1" t="str">
        <f t="array" ref="A966">INDEX(Reference!$A$2:$A$18, INT((ROW()-2)/(18*3*2)) + 1)</f>
        <v>Davao Region</v>
      </c>
      <c r="B966" s="2" t="str">
        <f t="array" ref="B966">INDEX(Reference!$C$2:$C$19, MOD(ROW()-2, 18) + 1)</f>
        <v>....Information and communication</v>
      </c>
      <c r="C966" s="1" t="str">
        <f t="shared" si="1"/>
        <v>Sub</v>
      </c>
      <c r="D966" s="1">
        <f t="shared" si="2"/>
        <v>2024</v>
      </c>
      <c r="E966" s="1" t="str">
        <f t="shared" si="3"/>
        <v>At Constant 2018 Prices</v>
      </c>
      <c r="F966" s="3">
        <v>2.7498147E7</v>
      </c>
    </row>
    <row r="967" ht="15.75" customHeight="1">
      <c r="A967" s="1" t="str">
        <f t="array" ref="A967">INDEX(Reference!$A$2:$A$18, INT((ROW()-2)/(18*3*2)) + 1)</f>
        <v>Davao Region</v>
      </c>
      <c r="B967" s="2" t="str">
        <f t="array" ref="B967">INDEX(Reference!$C$2:$C$19, MOD(ROW()-2, 18) + 1)</f>
        <v>....Financial and insurance activities</v>
      </c>
      <c r="C967" s="1" t="str">
        <f t="shared" si="1"/>
        <v>Sub</v>
      </c>
      <c r="D967" s="1">
        <f t="shared" si="2"/>
        <v>2024</v>
      </c>
      <c r="E967" s="1" t="str">
        <f t="shared" si="3"/>
        <v>At Constant 2018 Prices</v>
      </c>
      <c r="F967" s="3">
        <v>8.2859489E7</v>
      </c>
    </row>
    <row r="968" ht="15.75" customHeight="1">
      <c r="A968" s="1" t="str">
        <f t="array" ref="A968">INDEX(Reference!$A$2:$A$18, INT((ROW()-2)/(18*3*2)) + 1)</f>
        <v>Davao Region</v>
      </c>
      <c r="B968" s="2" t="str">
        <f t="array" ref="B968">INDEX(Reference!$C$2:$C$19, MOD(ROW()-2, 18) + 1)</f>
        <v>....Real estate and ownership of dwellings</v>
      </c>
      <c r="C968" s="1" t="str">
        <f t="shared" si="1"/>
        <v>Sub</v>
      </c>
      <c r="D968" s="1">
        <f t="shared" si="2"/>
        <v>2024</v>
      </c>
      <c r="E968" s="1" t="str">
        <f t="shared" si="3"/>
        <v>At Constant 2018 Prices</v>
      </c>
      <c r="F968" s="3">
        <v>4.4334721E7</v>
      </c>
    </row>
    <row r="969" ht="15.75" customHeight="1">
      <c r="A969" s="1" t="str">
        <f t="array" ref="A969">INDEX(Reference!$A$2:$A$18, INT((ROW()-2)/(18*3*2)) + 1)</f>
        <v>Davao Region</v>
      </c>
      <c r="B969" s="2" t="str">
        <f t="array" ref="B969">INDEX(Reference!$C$2:$C$19, MOD(ROW()-2, 18) + 1)</f>
        <v>....Professional and business services</v>
      </c>
      <c r="C969" s="1" t="str">
        <f t="shared" si="1"/>
        <v>Sub</v>
      </c>
      <c r="D969" s="1">
        <f t="shared" si="2"/>
        <v>2024</v>
      </c>
      <c r="E969" s="1" t="str">
        <f t="shared" si="3"/>
        <v>At Constant 2018 Prices</v>
      </c>
      <c r="F969" s="3">
        <v>5.022478E7</v>
      </c>
    </row>
    <row r="970" ht="15.75" customHeight="1">
      <c r="A970" s="1" t="str">
        <f t="array" ref="A970">INDEX(Reference!$A$2:$A$18, INT((ROW()-2)/(18*3*2)) + 1)</f>
        <v>Davao Region</v>
      </c>
      <c r="B970" s="2" t="str">
        <f t="array" ref="B970">INDEX(Reference!$C$2:$C$19, MOD(ROW()-2, 18) + 1)</f>
        <v>....Public administration and defense; compulsory social activities</v>
      </c>
      <c r="C970" s="1" t="str">
        <f t="shared" si="1"/>
        <v>Sub</v>
      </c>
      <c r="D970" s="1">
        <f t="shared" si="2"/>
        <v>2024</v>
      </c>
      <c r="E970" s="1" t="str">
        <f t="shared" si="3"/>
        <v>At Constant 2018 Prices</v>
      </c>
      <c r="F970" s="3">
        <v>3.5530725E7</v>
      </c>
    </row>
    <row r="971" ht="15.75" customHeight="1">
      <c r="A971" s="1" t="str">
        <f t="array" ref="A971">INDEX(Reference!$A$2:$A$18, INT((ROW()-2)/(18*3*2)) + 1)</f>
        <v>Davao Region</v>
      </c>
      <c r="B971" s="2" t="str">
        <f t="array" ref="B971">INDEX(Reference!$C$2:$C$19, MOD(ROW()-2, 18) + 1)</f>
        <v>....Education</v>
      </c>
      <c r="C971" s="1" t="str">
        <f t="shared" si="1"/>
        <v>Sub</v>
      </c>
      <c r="D971" s="1">
        <f t="shared" si="2"/>
        <v>2024</v>
      </c>
      <c r="E971" s="1" t="str">
        <f t="shared" si="3"/>
        <v>At Constant 2018 Prices</v>
      </c>
      <c r="F971" s="3">
        <v>4.3678673E7</v>
      </c>
    </row>
    <row r="972" ht="15.75" customHeight="1">
      <c r="A972" s="1" t="str">
        <f t="array" ref="A972">INDEX(Reference!$A$2:$A$18, INT((ROW()-2)/(18*3*2)) + 1)</f>
        <v>Davao Region</v>
      </c>
      <c r="B972" s="2" t="str">
        <f t="array" ref="B972">INDEX(Reference!$C$2:$C$19, MOD(ROW()-2, 18) + 1)</f>
        <v>....Human health and social work activities</v>
      </c>
      <c r="C972" s="1" t="str">
        <f t="shared" si="1"/>
        <v>Sub</v>
      </c>
      <c r="D972" s="1">
        <f t="shared" si="2"/>
        <v>2024</v>
      </c>
      <c r="E972" s="1" t="str">
        <f t="shared" si="3"/>
        <v>At Constant 2018 Prices</v>
      </c>
      <c r="F972" s="3">
        <v>3.3582527E7</v>
      </c>
    </row>
    <row r="973" ht="15.75" customHeight="1">
      <c r="A973" s="1" t="str">
        <f t="array" ref="A973">INDEX(Reference!$A$2:$A$18, INT((ROW()-2)/(18*3*2)) + 1)</f>
        <v>Davao Region</v>
      </c>
      <c r="B973" s="2" t="str">
        <f t="array" ref="B973">INDEX(Reference!$C$2:$C$19, MOD(ROW()-2, 18) + 1)</f>
        <v>....Other services</v>
      </c>
      <c r="C973" s="1" t="str">
        <f t="shared" si="1"/>
        <v>Sub</v>
      </c>
      <c r="D973" s="1">
        <f t="shared" si="2"/>
        <v>2024</v>
      </c>
      <c r="E973" s="1" t="str">
        <f t="shared" si="3"/>
        <v>At Constant 2018 Prices</v>
      </c>
      <c r="F973" s="3">
        <v>1.444764E7</v>
      </c>
    </row>
    <row r="974" ht="15.75" customHeight="1">
      <c r="A974" s="1" t="str">
        <f t="array" ref="A974">INDEX(Reference!$A$2:$A$18, INT((ROW()-2)/(18*3*2)) + 1)</f>
        <v>Eastern Visayas</v>
      </c>
      <c r="B974" s="2" t="str">
        <f t="array" ref="B974">INDEX(Reference!$C$2:$C$19, MOD(ROW()-2, 18) + 1)</f>
        <v>..Agriculture, forestry, and fishing</v>
      </c>
      <c r="C974" s="1" t="str">
        <f t="shared" si="1"/>
        <v>Main</v>
      </c>
      <c r="D974" s="1">
        <f t="shared" si="2"/>
        <v>2022</v>
      </c>
      <c r="E974" s="1" t="str">
        <f t="shared" si="3"/>
        <v>At Current Prices</v>
      </c>
      <c r="F974" s="3">
        <v>6.9714654E7</v>
      </c>
    </row>
    <row r="975" ht="15.75" customHeight="1">
      <c r="A975" s="1" t="str">
        <f t="array" ref="A975">INDEX(Reference!$A$2:$A$18, INT((ROW()-2)/(18*3*2)) + 1)</f>
        <v>Eastern Visayas</v>
      </c>
      <c r="B975" s="2" t="str">
        <f t="array" ref="B975">INDEX(Reference!$C$2:$C$19, MOD(ROW()-2, 18) + 1)</f>
        <v>..Industry</v>
      </c>
      <c r="C975" s="1" t="str">
        <f t="shared" si="1"/>
        <v>Main</v>
      </c>
      <c r="D975" s="1">
        <f t="shared" si="2"/>
        <v>2022</v>
      </c>
      <c r="E975" s="1" t="str">
        <f t="shared" si="3"/>
        <v>At Current Prices</v>
      </c>
      <c r="F975" s="3">
        <v>1.88839246E8</v>
      </c>
    </row>
    <row r="976" ht="15.75" customHeight="1">
      <c r="A976" s="1" t="str">
        <f t="array" ref="A976">INDEX(Reference!$A$2:$A$18, INT((ROW()-2)/(18*3*2)) + 1)</f>
        <v>Eastern Visayas</v>
      </c>
      <c r="B976" s="2" t="str">
        <f t="array" ref="B976">INDEX(Reference!$C$2:$C$19, MOD(ROW()-2, 18) + 1)</f>
        <v>....Mining and quarrying</v>
      </c>
      <c r="C976" s="1" t="str">
        <f t="shared" si="1"/>
        <v>Sub</v>
      </c>
      <c r="D976" s="1">
        <f t="shared" si="2"/>
        <v>2022</v>
      </c>
      <c r="E976" s="1" t="str">
        <f t="shared" si="3"/>
        <v>At Current Prices</v>
      </c>
      <c r="F976" s="3">
        <v>1183753.0</v>
      </c>
    </row>
    <row r="977" ht="15.75" customHeight="1">
      <c r="A977" s="1" t="str">
        <f t="array" ref="A977">INDEX(Reference!$A$2:$A$18, INT((ROW()-2)/(18*3*2)) + 1)</f>
        <v>Eastern Visayas</v>
      </c>
      <c r="B977" s="2" t="str">
        <f t="array" ref="B977">INDEX(Reference!$C$2:$C$19, MOD(ROW()-2, 18) + 1)</f>
        <v>....Manufacturing</v>
      </c>
      <c r="C977" s="1" t="str">
        <f t="shared" si="1"/>
        <v>Sub</v>
      </c>
      <c r="D977" s="1">
        <f t="shared" si="2"/>
        <v>2022</v>
      </c>
      <c r="E977" s="1" t="str">
        <f t="shared" si="3"/>
        <v>At Current Prices</v>
      </c>
      <c r="F977" s="3">
        <v>5.437092E7</v>
      </c>
    </row>
    <row r="978" ht="15.75" customHeight="1">
      <c r="A978" s="1" t="str">
        <f t="array" ref="A978">INDEX(Reference!$A$2:$A$18, INT((ROW()-2)/(18*3*2)) + 1)</f>
        <v>Eastern Visayas</v>
      </c>
      <c r="B978" s="2" t="str">
        <f t="array" ref="B978">INDEX(Reference!$C$2:$C$19, MOD(ROW()-2, 18) + 1)</f>
        <v>....Electricity, steam, water and waste management</v>
      </c>
      <c r="C978" s="1" t="str">
        <f t="shared" si="1"/>
        <v>Sub</v>
      </c>
      <c r="D978" s="1">
        <f t="shared" si="2"/>
        <v>2022</v>
      </c>
      <c r="E978" s="1" t="str">
        <f t="shared" si="3"/>
        <v>At Current Prices</v>
      </c>
      <c r="F978" s="3">
        <v>4.7846761E7</v>
      </c>
    </row>
    <row r="979" ht="15.75" customHeight="1">
      <c r="A979" s="1" t="str">
        <f t="array" ref="A979">INDEX(Reference!$A$2:$A$18, INT((ROW()-2)/(18*3*2)) + 1)</f>
        <v>Eastern Visayas</v>
      </c>
      <c r="B979" s="2" t="str">
        <f t="array" ref="B979">INDEX(Reference!$C$2:$C$19, MOD(ROW()-2, 18) + 1)</f>
        <v>....Construction</v>
      </c>
      <c r="C979" s="1" t="str">
        <f t="shared" si="1"/>
        <v>Sub</v>
      </c>
      <c r="D979" s="1">
        <f t="shared" si="2"/>
        <v>2022</v>
      </c>
      <c r="E979" s="1" t="str">
        <f t="shared" si="3"/>
        <v>At Current Prices</v>
      </c>
      <c r="F979" s="3">
        <v>8.5437812E7</v>
      </c>
    </row>
    <row r="980" ht="15.75" customHeight="1">
      <c r="A980" s="1" t="str">
        <f t="array" ref="A980">INDEX(Reference!$A$2:$A$18, INT((ROW()-2)/(18*3*2)) + 1)</f>
        <v>Eastern Visayas</v>
      </c>
      <c r="B980" s="2" t="str">
        <f t="array" ref="B980">INDEX(Reference!$C$2:$C$19, MOD(ROW()-2, 18) + 1)</f>
        <v>..Services</v>
      </c>
      <c r="C980" s="1" t="str">
        <f t="shared" si="1"/>
        <v>Main</v>
      </c>
      <c r="D980" s="1">
        <f t="shared" si="2"/>
        <v>2022</v>
      </c>
      <c r="E980" s="1" t="str">
        <f t="shared" si="3"/>
        <v>At Current Prices</v>
      </c>
      <c r="F980" s="3">
        <v>2.54272709E8</v>
      </c>
    </row>
    <row r="981" ht="15.75" customHeight="1">
      <c r="A981" s="1" t="str">
        <f t="array" ref="A981">INDEX(Reference!$A$2:$A$18, INT((ROW()-2)/(18*3*2)) + 1)</f>
        <v>Eastern Visayas</v>
      </c>
      <c r="B981" s="2" t="str">
        <f t="array" ref="B981">INDEX(Reference!$C$2:$C$19, MOD(ROW()-2, 18) + 1)</f>
        <v>....Wholesale and retail trade; repair of motor vehicles and motorcycles</v>
      </c>
      <c r="C981" s="1" t="str">
        <f t="shared" si="1"/>
        <v>Sub</v>
      </c>
      <c r="D981" s="1">
        <f t="shared" si="2"/>
        <v>2022</v>
      </c>
      <c r="E981" s="1" t="str">
        <f t="shared" si="3"/>
        <v>At Current Prices</v>
      </c>
      <c r="F981" s="3">
        <v>6.0800947E7</v>
      </c>
    </row>
    <row r="982" ht="15.75" customHeight="1">
      <c r="A982" s="1" t="str">
        <f t="array" ref="A982">INDEX(Reference!$A$2:$A$18, INT((ROW()-2)/(18*3*2)) + 1)</f>
        <v>Eastern Visayas</v>
      </c>
      <c r="B982" s="2" t="str">
        <f t="array" ref="B982">INDEX(Reference!$C$2:$C$19, MOD(ROW()-2, 18) + 1)</f>
        <v>....Transportation and storage</v>
      </c>
      <c r="C982" s="1" t="str">
        <f t="shared" si="1"/>
        <v>Sub</v>
      </c>
      <c r="D982" s="1">
        <f t="shared" si="2"/>
        <v>2022</v>
      </c>
      <c r="E982" s="1" t="str">
        <f t="shared" si="3"/>
        <v>At Current Prices</v>
      </c>
      <c r="F982" s="3">
        <v>2.5118374E7</v>
      </c>
    </row>
    <row r="983" ht="15.75" customHeight="1">
      <c r="A983" s="1" t="str">
        <f t="array" ref="A983">INDEX(Reference!$A$2:$A$18, INT((ROW()-2)/(18*3*2)) + 1)</f>
        <v>Eastern Visayas</v>
      </c>
      <c r="B983" s="2" t="str">
        <f t="array" ref="B983">INDEX(Reference!$C$2:$C$19, MOD(ROW()-2, 18) + 1)</f>
        <v>....Accommodation and food service activities</v>
      </c>
      <c r="C983" s="1" t="str">
        <f t="shared" si="1"/>
        <v>Sub</v>
      </c>
      <c r="D983" s="1">
        <f t="shared" si="2"/>
        <v>2022</v>
      </c>
      <c r="E983" s="1" t="str">
        <f t="shared" si="3"/>
        <v>At Current Prices</v>
      </c>
      <c r="F983" s="3">
        <v>2983574.0</v>
      </c>
    </row>
    <row r="984" ht="15.75" customHeight="1">
      <c r="A984" s="1" t="str">
        <f t="array" ref="A984">INDEX(Reference!$A$2:$A$18, INT((ROW()-2)/(18*3*2)) + 1)</f>
        <v>Eastern Visayas</v>
      </c>
      <c r="B984" s="2" t="str">
        <f t="array" ref="B984">INDEX(Reference!$C$2:$C$19, MOD(ROW()-2, 18) + 1)</f>
        <v>....Information and communication</v>
      </c>
      <c r="C984" s="1" t="str">
        <f t="shared" si="1"/>
        <v>Sub</v>
      </c>
      <c r="D984" s="1">
        <f t="shared" si="2"/>
        <v>2022</v>
      </c>
      <c r="E984" s="1" t="str">
        <f t="shared" si="3"/>
        <v>At Current Prices</v>
      </c>
      <c r="F984" s="3">
        <v>1.7227317E7</v>
      </c>
    </row>
    <row r="985" ht="15.75" customHeight="1">
      <c r="A985" s="1" t="str">
        <f t="array" ref="A985">INDEX(Reference!$A$2:$A$18, INT((ROW()-2)/(18*3*2)) + 1)</f>
        <v>Eastern Visayas</v>
      </c>
      <c r="B985" s="2" t="str">
        <f t="array" ref="B985">INDEX(Reference!$C$2:$C$19, MOD(ROW()-2, 18) + 1)</f>
        <v>....Financial and insurance activities</v>
      </c>
      <c r="C985" s="1" t="str">
        <f t="shared" si="1"/>
        <v>Sub</v>
      </c>
      <c r="D985" s="1">
        <f t="shared" si="2"/>
        <v>2022</v>
      </c>
      <c r="E985" s="1" t="str">
        <f t="shared" si="3"/>
        <v>At Current Prices</v>
      </c>
      <c r="F985" s="3">
        <v>3.9710753E7</v>
      </c>
    </row>
    <row r="986" ht="15.75" customHeight="1">
      <c r="A986" s="1" t="str">
        <f t="array" ref="A986">INDEX(Reference!$A$2:$A$18, INT((ROW()-2)/(18*3*2)) + 1)</f>
        <v>Eastern Visayas</v>
      </c>
      <c r="B986" s="2" t="str">
        <f t="array" ref="B986">INDEX(Reference!$C$2:$C$19, MOD(ROW()-2, 18) + 1)</f>
        <v>....Real estate and ownership of dwellings</v>
      </c>
      <c r="C986" s="1" t="str">
        <f t="shared" si="1"/>
        <v>Sub</v>
      </c>
      <c r="D986" s="1">
        <f t="shared" si="2"/>
        <v>2022</v>
      </c>
      <c r="E986" s="1" t="str">
        <f t="shared" si="3"/>
        <v>At Current Prices</v>
      </c>
      <c r="F986" s="3">
        <v>2.759257E7</v>
      </c>
    </row>
    <row r="987" ht="15.75" customHeight="1">
      <c r="A987" s="1" t="str">
        <f t="array" ref="A987">INDEX(Reference!$A$2:$A$18, INT((ROW()-2)/(18*3*2)) + 1)</f>
        <v>Eastern Visayas</v>
      </c>
      <c r="B987" s="2" t="str">
        <f t="array" ref="B987">INDEX(Reference!$C$2:$C$19, MOD(ROW()-2, 18) + 1)</f>
        <v>....Professional and business services</v>
      </c>
      <c r="C987" s="1" t="str">
        <f t="shared" si="1"/>
        <v>Sub</v>
      </c>
      <c r="D987" s="1">
        <f t="shared" si="2"/>
        <v>2022</v>
      </c>
      <c r="E987" s="1" t="str">
        <f t="shared" si="3"/>
        <v>At Current Prices</v>
      </c>
      <c r="F987" s="3">
        <v>3243447.0</v>
      </c>
    </row>
    <row r="988" ht="15.75" customHeight="1">
      <c r="A988" s="1" t="str">
        <f t="array" ref="A988">INDEX(Reference!$A$2:$A$18, INT((ROW()-2)/(18*3*2)) + 1)</f>
        <v>Eastern Visayas</v>
      </c>
      <c r="B988" s="2" t="str">
        <f t="array" ref="B988">INDEX(Reference!$C$2:$C$19, MOD(ROW()-2, 18) + 1)</f>
        <v>....Public administration and defense; compulsory social activities</v>
      </c>
      <c r="C988" s="1" t="str">
        <f t="shared" si="1"/>
        <v>Sub</v>
      </c>
      <c r="D988" s="1">
        <f t="shared" si="2"/>
        <v>2022</v>
      </c>
      <c r="E988" s="1" t="str">
        <f t="shared" si="3"/>
        <v>At Current Prices</v>
      </c>
      <c r="F988" s="3">
        <v>1.7945172E7</v>
      </c>
    </row>
    <row r="989" ht="15.75" customHeight="1">
      <c r="A989" s="1" t="str">
        <f t="array" ref="A989">INDEX(Reference!$A$2:$A$18, INT((ROW()-2)/(18*3*2)) + 1)</f>
        <v>Eastern Visayas</v>
      </c>
      <c r="B989" s="2" t="str">
        <f t="array" ref="B989">INDEX(Reference!$C$2:$C$19, MOD(ROW()-2, 18) + 1)</f>
        <v>....Education</v>
      </c>
      <c r="C989" s="1" t="str">
        <f t="shared" si="1"/>
        <v>Sub</v>
      </c>
      <c r="D989" s="1">
        <f t="shared" si="2"/>
        <v>2022</v>
      </c>
      <c r="E989" s="1" t="str">
        <f t="shared" si="3"/>
        <v>At Current Prices</v>
      </c>
      <c r="F989" s="3">
        <v>4.2167536E7</v>
      </c>
    </row>
    <row r="990" ht="15.75" customHeight="1">
      <c r="A990" s="1" t="str">
        <f t="array" ref="A990">INDEX(Reference!$A$2:$A$18, INT((ROW()-2)/(18*3*2)) + 1)</f>
        <v>Eastern Visayas</v>
      </c>
      <c r="B990" s="2" t="str">
        <f t="array" ref="B990">INDEX(Reference!$C$2:$C$19, MOD(ROW()-2, 18) + 1)</f>
        <v>....Human health and social work activities</v>
      </c>
      <c r="C990" s="1" t="str">
        <f t="shared" si="1"/>
        <v>Sub</v>
      </c>
      <c r="D990" s="1">
        <f t="shared" si="2"/>
        <v>2022</v>
      </c>
      <c r="E990" s="1" t="str">
        <f t="shared" si="3"/>
        <v>At Current Prices</v>
      </c>
      <c r="F990" s="3">
        <v>9441841.0</v>
      </c>
    </row>
    <row r="991" ht="15.75" customHeight="1">
      <c r="A991" s="1" t="str">
        <f t="array" ref="A991">INDEX(Reference!$A$2:$A$18, INT((ROW()-2)/(18*3*2)) + 1)</f>
        <v>Eastern Visayas</v>
      </c>
      <c r="B991" s="2" t="str">
        <f t="array" ref="B991">INDEX(Reference!$C$2:$C$19, MOD(ROW()-2, 18) + 1)</f>
        <v>....Other services</v>
      </c>
      <c r="C991" s="1" t="str">
        <f t="shared" si="1"/>
        <v>Sub</v>
      </c>
      <c r="D991" s="1">
        <f t="shared" si="2"/>
        <v>2022</v>
      </c>
      <c r="E991" s="1" t="str">
        <f t="shared" si="3"/>
        <v>At Current Prices</v>
      </c>
      <c r="F991" s="3">
        <v>8041179.0</v>
      </c>
    </row>
    <row r="992" ht="15.75" customHeight="1">
      <c r="A992" s="1" t="str">
        <f t="array" ref="A992">INDEX(Reference!$A$2:$A$18, INT((ROW()-2)/(18*3*2)) + 1)</f>
        <v>Eastern Visayas</v>
      </c>
      <c r="B992" s="2" t="str">
        <f t="array" ref="B992">INDEX(Reference!$C$2:$C$19, MOD(ROW()-2, 18) + 1)</f>
        <v>..Agriculture, forestry, and fishing</v>
      </c>
      <c r="C992" s="1" t="str">
        <f t="shared" si="1"/>
        <v>Main</v>
      </c>
      <c r="D992" s="1">
        <f t="shared" si="2"/>
        <v>2023</v>
      </c>
      <c r="E992" s="1" t="str">
        <f t="shared" si="3"/>
        <v>At Current Prices</v>
      </c>
      <c r="F992" s="3">
        <v>7.3933209E7</v>
      </c>
    </row>
    <row r="993" ht="15.75" customHeight="1">
      <c r="A993" s="1" t="str">
        <f t="array" ref="A993">INDEX(Reference!$A$2:$A$18, INT((ROW()-2)/(18*3*2)) + 1)</f>
        <v>Eastern Visayas</v>
      </c>
      <c r="B993" s="2" t="str">
        <f t="array" ref="B993">INDEX(Reference!$C$2:$C$19, MOD(ROW()-2, 18) + 1)</f>
        <v>..Industry</v>
      </c>
      <c r="C993" s="1" t="str">
        <f t="shared" si="1"/>
        <v>Main</v>
      </c>
      <c r="D993" s="1">
        <f t="shared" si="2"/>
        <v>2023</v>
      </c>
      <c r="E993" s="1" t="str">
        <f t="shared" si="3"/>
        <v>At Current Prices</v>
      </c>
      <c r="F993" s="3">
        <v>2.08033025E8</v>
      </c>
    </row>
    <row r="994" ht="15.75" customHeight="1">
      <c r="A994" s="1" t="str">
        <f t="array" ref="A994">INDEX(Reference!$A$2:$A$18, INT((ROW()-2)/(18*3*2)) + 1)</f>
        <v>Eastern Visayas</v>
      </c>
      <c r="B994" s="2" t="str">
        <f t="array" ref="B994">INDEX(Reference!$C$2:$C$19, MOD(ROW()-2, 18) + 1)</f>
        <v>....Mining and quarrying</v>
      </c>
      <c r="C994" s="1" t="str">
        <f t="shared" si="1"/>
        <v>Sub</v>
      </c>
      <c r="D994" s="1">
        <f t="shared" si="2"/>
        <v>2023</v>
      </c>
      <c r="E994" s="1" t="str">
        <f t="shared" si="3"/>
        <v>At Current Prices</v>
      </c>
      <c r="F994" s="3">
        <v>2120186.0</v>
      </c>
    </row>
    <row r="995" ht="15.75" customHeight="1">
      <c r="A995" s="1" t="str">
        <f t="array" ref="A995">INDEX(Reference!$A$2:$A$18, INT((ROW()-2)/(18*3*2)) + 1)</f>
        <v>Eastern Visayas</v>
      </c>
      <c r="B995" s="2" t="str">
        <f t="array" ref="B995">INDEX(Reference!$C$2:$C$19, MOD(ROW()-2, 18) + 1)</f>
        <v>....Manufacturing</v>
      </c>
      <c r="C995" s="1" t="str">
        <f t="shared" si="1"/>
        <v>Sub</v>
      </c>
      <c r="D995" s="1">
        <f t="shared" si="2"/>
        <v>2023</v>
      </c>
      <c r="E995" s="1" t="str">
        <f t="shared" si="3"/>
        <v>At Current Prices</v>
      </c>
      <c r="F995" s="3">
        <v>5.6837977E7</v>
      </c>
    </row>
    <row r="996" ht="15.75" customHeight="1">
      <c r="A996" s="1" t="str">
        <f t="array" ref="A996">INDEX(Reference!$A$2:$A$18, INT((ROW()-2)/(18*3*2)) + 1)</f>
        <v>Eastern Visayas</v>
      </c>
      <c r="B996" s="2" t="str">
        <f t="array" ref="B996">INDEX(Reference!$C$2:$C$19, MOD(ROW()-2, 18) + 1)</f>
        <v>....Electricity, steam, water and waste management</v>
      </c>
      <c r="C996" s="1" t="str">
        <f t="shared" si="1"/>
        <v>Sub</v>
      </c>
      <c r="D996" s="1">
        <f t="shared" si="2"/>
        <v>2023</v>
      </c>
      <c r="E996" s="1" t="str">
        <f t="shared" si="3"/>
        <v>At Current Prices</v>
      </c>
      <c r="F996" s="3">
        <v>5.5071261E7</v>
      </c>
    </row>
    <row r="997" ht="15.75" customHeight="1">
      <c r="A997" s="1" t="str">
        <f t="array" ref="A997">INDEX(Reference!$A$2:$A$18, INT((ROW()-2)/(18*3*2)) + 1)</f>
        <v>Eastern Visayas</v>
      </c>
      <c r="B997" s="2" t="str">
        <f t="array" ref="B997">INDEX(Reference!$C$2:$C$19, MOD(ROW()-2, 18) + 1)</f>
        <v>....Construction</v>
      </c>
      <c r="C997" s="1" t="str">
        <f t="shared" si="1"/>
        <v>Sub</v>
      </c>
      <c r="D997" s="1">
        <f t="shared" si="2"/>
        <v>2023</v>
      </c>
      <c r="E997" s="1" t="str">
        <f t="shared" si="3"/>
        <v>At Current Prices</v>
      </c>
      <c r="F997" s="3">
        <v>9.40036E7</v>
      </c>
    </row>
    <row r="998" ht="15.75" customHeight="1">
      <c r="A998" s="1" t="str">
        <f t="array" ref="A998">INDEX(Reference!$A$2:$A$18, INT((ROW()-2)/(18*3*2)) + 1)</f>
        <v>Eastern Visayas</v>
      </c>
      <c r="B998" s="2" t="str">
        <f t="array" ref="B998">INDEX(Reference!$C$2:$C$19, MOD(ROW()-2, 18) + 1)</f>
        <v>..Services</v>
      </c>
      <c r="C998" s="1" t="str">
        <f t="shared" si="1"/>
        <v>Main</v>
      </c>
      <c r="D998" s="1">
        <f t="shared" si="2"/>
        <v>2023</v>
      </c>
      <c r="E998" s="1" t="str">
        <f t="shared" si="3"/>
        <v>At Current Prices</v>
      </c>
      <c r="F998" s="3">
        <v>2.85763419E8</v>
      </c>
    </row>
    <row r="999" ht="15.75" customHeight="1">
      <c r="A999" s="1" t="str">
        <f t="array" ref="A999">INDEX(Reference!$A$2:$A$18, INT((ROW()-2)/(18*3*2)) + 1)</f>
        <v>Eastern Visayas</v>
      </c>
      <c r="B999" s="2" t="str">
        <f t="array" ref="B999">INDEX(Reference!$C$2:$C$19, MOD(ROW()-2, 18) + 1)</f>
        <v>....Wholesale and retail trade; repair of motor vehicles and motorcycles</v>
      </c>
      <c r="C999" s="1" t="str">
        <f t="shared" si="1"/>
        <v>Sub</v>
      </c>
      <c r="D999" s="1">
        <f t="shared" si="2"/>
        <v>2023</v>
      </c>
      <c r="E999" s="1" t="str">
        <f t="shared" si="3"/>
        <v>At Current Prices</v>
      </c>
      <c r="F999" s="3">
        <v>6.8456825E7</v>
      </c>
    </row>
    <row r="1000" ht="15.75" customHeight="1">
      <c r="A1000" s="1" t="str">
        <f t="array" ref="A1000">INDEX(Reference!$A$2:$A$18, INT((ROW()-2)/(18*3*2)) + 1)</f>
        <v>Eastern Visayas</v>
      </c>
      <c r="B1000" s="2" t="str">
        <f t="array" ref="B1000">INDEX(Reference!$C$2:$C$19, MOD(ROW()-2, 18) + 1)</f>
        <v>....Transportation and storage</v>
      </c>
      <c r="C1000" s="1" t="str">
        <f t="shared" si="1"/>
        <v>Sub</v>
      </c>
      <c r="D1000" s="1">
        <f t="shared" si="2"/>
        <v>2023</v>
      </c>
      <c r="E1000" s="1" t="str">
        <f t="shared" si="3"/>
        <v>At Current Prices</v>
      </c>
      <c r="F1000" s="3">
        <v>3.3788466E7</v>
      </c>
    </row>
    <row r="1001" ht="15.75" customHeight="1">
      <c r="A1001" s="1" t="str">
        <f t="array" ref="A1001">INDEX(Reference!$A$2:$A$18, INT((ROW()-2)/(18*3*2)) + 1)</f>
        <v>Eastern Visayas</v>
      </c>
      <c r="B1001" s="2" t="str">
        <f t="array" ref="B1001">INDEX(Reference!$C$2:$C$19, MOD(ROW()-2, 18) + 1)</f>
        <v>....Accommodation and food service activities</v>
      </c>
      <c r="C1001" s="1" t="str">
        <f t="shared" si="1"/>
        <v>Sub</v>
      </c>
      <c r="D1001" s="1">
        <f t="shared" si="2"/>
        <v>2023</v>
      </c>
      <c r="E1001" s="1" t="str">
        <f t="shared" si="3"/>
        <v>At Current Prices</v>
      </c>
      <c r="F1001" s="3">
        <v>3674072.0</v>
      </c>
    </row>
    <row r="1002" ht="15.75" customHeight="1">
      <c r="A1002" s="1" t="str">
        <f t="array" ref="A1002">INDEX(Reference!$A$2:$A$18, INT((ROW()-2)/(18*3*2)) + 1)</f>
        <v>Eastern Visayas</v>
      </c>
      <c r="B1002" s="2" t="str">
        <f t="array" ref="B1002">INDEX(Reference!$C$2:$C$19, MOD(ROW()-2, 18) + 1)</f>
        <v>....Information and communication</v>
      </c>
      <c r="C1002" s="1" t="str">
        <f t="shared" si="1"/>
        <v>Sub</v>
      </c>
      <c r="D1002" s="1">
        <f t="shared" si="2"/>
        <v>2023</v>
      </c>
      <c r="E1002" s="1" t="str">
        <f t="shared" si="3"/>
        <v>At Current Prices</v>
      </c>
      <c r="F1002" s="3">
        <v>1.845812E7</v>
      </c>
    </row>
    <row r="1003" ht="15.75" customHeight="1">
      <c r="A1003" s="1" t="str">
        <f t="array" ref="A1003">INDEX(Reference!$A$2:$A$18, INT((ROW()-2)/(18*3*2)) + 1)</f>
        <v>Eastern Visayas</v>
      </c>
      <c r="B1003" s="2" t="str">
        <f t="array" ref="B1003">INDEX(Reference!$C$2:$C$19, MOD(ROW()-2, 18) + 1)</f>
        <v>....Financial and insurance activities</v>
      </c>
      <c r="C1003" s="1" t="str">
        <f t="shared" si="1"/>
        <v>Sub</v>
      </c>
      <c r="D1003" s="1">
        <f t="shared" si="2"/>
        <v>2023</v>
      </c>
      <c r="E1003" s="1" t="str">
        <f t="shared" si="3"/>
        <v>At Current Prices</v>
      </c>
      <c r="F1003" s="3">
        <v>4.4194276E7</v>
      </c>
    </row>
    <row r="1004" ht="15.75" customHeight="1">
      <c r="A1004" s="1" t="str">
        <f t="array" ref="A1004">INDEX(Reference!$A$2:$A$18, INT((ROW()-2)/(18*3*2)) + 1)</f>
        <v>Eastern Visayas</v>
      </c>
      <c r="B1004" s="2" t="str">
        <f t="array" ref="B1004">INDEX(Reference!$C$2:$C$19, MOD(ROW()-2, 18) + 1)</f>
        <v>....Real estate and ownership of dwellings</v>
      </c>
      <c r="C1004" s="1" t="str">
        <f t="shared" si="1"/>
        <v>Sub</v>
      </c>
      <c r="D1004" s="1">
        <f t="shared" si="2"/>
        <v>2023</v>
      </c>
      <c r="E1004" s="1" t="str">
        <f t="shared" si="3"/>
        <v>At Current Prices</v>
      </c>
      <c r="F1004" s="3">
        <v>2.8850108E7</v>
      </c>
    </row>
    <row r="1005" ht="15.75" customHeight="1">
      <c r="A1005" s="1" t="str">
        <f t="array" ref="A1005">INDEX(Reference!$A$2:$A$18, INT((ROW()-2)/(18*3*2)) + 1)</f>
        <v>Eastern Visayas</v>
      </c>
      <c r="B1005" s="2" t="str">
        <f t="array" ref="B1005">INDEX(Reference!$C$2:$C$19, MOD(ROW()-2, 18) + 1)</f>
        <v>....Professional and business services</v>
      </c>
      <c r="C1005" s="1" t="str">
        <f t="shared" si="1"/>
        <v>Sub</v>
      </c>
      <c r="D1005" s="1">
        <f t="shared" si="2"/>
        <v>2023</v>
      </c>
      <c r="E1005" s="1" t="str">
        <f t="shared" si="3"/>
        <v>At Current Prices</v>
      </c>
      <c r="F1005" s="3">
        <v>3593166.0</v>
      </c>
    </row>
    <row r="1006" ht="15.75" customHeight="1">
      <c r="A1006" s="1" t="str">
        <f t="array" ref="A1006">INDEX(Reference!$A$2:$A$18, INT((ROW()-2)/(18*3*2)) + 1)</f>
        <v>Eastern Visayas</v>
      </c>
      <c r="B1006" s="2" t="str">
        <f t="array" ref="B1006">INDEX(Reference!$C$2:$C$19, MOD(ROW()-2, 18) + 1)</f>
        <v>....Public administration and defense; compulsory social activities</v>
      </c>
      <c r="C1006" s="1" t="str">
        <f t="shared" si="1"/>
        <v>Sub</v>
      </c>
      <c r="D1006" s="1">
        <f t="shared" si="2"/>
        <v>2023</v>
      </c>
      <c r="E1006" s="1" t="str">
        <f t="shared" si="3"/>
        <v>At Current Prices</v>
      </c>
      <c r="F1006" s="3">
        <v>1.9275783E7</v>
      </c>
    </row>
    <row r="1007" ht="15.75" customHeight="1">
      <c r="A1007" s="1" t="str">
        <f t="array" ref="A1007">INDEX(Reference!$A$2:$A$18, INT((ROW()-2)/(18*3*2)) + 1)</f>
        <v>Eastern Visayas</v>
      </c>
      <c r="B1007" s="2" t="str">
        <f t="array" ref="B1007">INDEX(Reference!$C$2:$C$19, MOD(ROW()-2, 18) + 1)</f>
        <v>....Education</v>
      </c>
      <c r="C1007" s="1" t="str">
        <f t="shared" si="1"/>
        <v>Sub</v>
      </c>
      <c r="D1007" s="1">
        <f t="shared" si="2"/>
        <v>2023</v>
      </c>
      <c r="E1007" s="1" t="str">
        <f t="shared" si="3"/>
        <v>At Current Prices</v>
      </c>
      <c r="F1007" s="3">
        <v>4.572797E7</v>
      </c>
    </row>
    <row r="1008" ht="15.75" customHeight="1">
      <c r="A1008" s="1" t="str">
        <f t="array" ref="A1008">INDEX(Reference!$A$2:$A$18, INT((ROW()-2)/(18*3*2)) + 1)</f>
        <v>Eastern Visayas</v>
      </c>
      <c r="B1008" s="2" t="str">
        <f t="array" ref="B1008">INDEX(Reference!$C$2:$C$19, MOD(ROW()-2, 18) + 1)</f>
        <v>....Human health and social work activities</v>
      </c>
      <c r="C1008" s="1" t="str">
        <f t="shared" si="1"/>
        <v>Sub</v>
      </c>
      <c r="D1008" s="1">
        <f t="shared" si="2"/>
        <v>2023</v>
      </c>
      <c r="E1008" s="1" t="str">
        <f t="shared" si="3"/>
        <v>At Current Prices</v>
      </c>
      <c r="F1008" s="3">
        <v>1.0303602E7</v>
      </c>
    </row>
    <row r="1009" ht="15.75" customHeight="1">
      <c r="A1009" s="1" t="str">
        <f t="array" ref="A1009">INDEX(Reference!$A$2:$A$18, INT((ROW()-2)/(18*3*2)) + 1)</f>
        <v>Eastern Visayas</v>
      </c>
      <c r="B1009" s="2" t="str">
        <f t="array" ref="B1009">INDEX(Reference!$C$2:$C$19, MOD(ROW()-2, 18) + 1)</f>
        <v>....Other services</v>
      </c>
      <c r="C1009" s="1" t="str">
        <f t="shared" si="1"/>
        <v>Sub</v>
      </c>
      <c r="D1009" s="1">
        <f t="shared" si="2"/>
        <v>2023</v>
      </c>
      <c r="E1009" s="1" t="str">
        <f t="shared" si="3"/>
        <v>At Current Prices</v>
      </c>
      <c r="F1009" s="3">
        <v>9441031.0</v>
      </c>
    </row>
    <row r="1010" ht="15.75" customHeight="1">
      <c r="A1010" s="1" t="str">
        <f t="array" ref="A1010">INDEX(Reference!$A$2:$A$18, INT((ROW()-2)/(18*3*2)) + 1)</f>
        <v>Eastern Visayas</v>
      </c>
      <c r="B1010" s="2" t="str">
        <f t="array" ref="B1010">INDEX(Reference!$C$2:$C$19, MOD(ROW()-2, 18) + 1)</f>
        <v>..Agriculture, forestry, and fishing</v>
      </c>
      <c r="C1010" s="1" t="str">
        <f t="shared" si="1"/>
        <v>Main</v>
      </c>
      <c r="D1010" s="1">
        <f t="shared" si="2"/>
        <v>2024</v>
      </c>
      <c r="E1010" s="1" t="str">
        <f t="shared" si="3"/>
        <v>At Current Prices</v>
      </c>
      <c r="F1010" s="3">
        <v>8.4251616E7</v>
      </c>
    </row>
    <row r="1011" ht="15.75" customHeight="1">
      <c r="A1011" s="1" t="str">
        <f t="array" ref="A1011">INDEX(Reference!$A$2:$A$18, INT((ROW()-2)/(18*3*2)) + 1)</f>
        <v>Eastern Visayas</v>
      </c>
      <c r="B1011" s="2" t="str">
        <f t="array" ref="B1011">INDEX(Reference!$C$2:$C$19, MOD(ROW()-2, 18) + 1)</f>
        <v>..Industry</v>
      </c>
      <c r="C1011" s="1" t="str">
        <f t="shared" si="1"/>
        <v>Main</v>
      </c>
      <c r="D1011" s="1">
        <f t="shared" si="2"/>
        <v>2024</v>
      </c>
      <c r="E1011" s="1" t="str">
        <f t="shared" si="3"/>
        <v>At Current Prices</v>
      </c>
      <c r="F1011" s="3">
        <v>2.22078445E8</v>
      </c>
    </row>
    <row r="1012" ht="15.75" customHeight="1">
      <c r="A1012" s="1" t="str">
        <f t="array" ref="A1012">INDEX(Reference!$A$2:$A$18, INT((ROW()-2)/(18*3*2)) + 1)</f>
        <v>Eastern Visayas</v>
      </c>
      <c r="B1012" s="2" t="str">
        <f t="array" ref="B1012">INDEX(Reference!$C$2:$C$19, MOD(ROW()-2, 18) + 1)</f>
        <v>....Mining and quarrying</v>
      </c>
      <c r="C1012" s="1" t="str">
        <f t="shared" si="1"/>
        <v>Sub</v>
      </c>
      <c r="D1012" s="1">
        <f t="shared" si="2"/>
        <v>2024</v>
      </c>
      <c r="E1012" s="1" t="str">
        <f t="shared" si="3"/>
        <v>At Current Prices</v>
      </c>
      <c r="F1012" s="3">
        <v>1852561.0</v>
      </c>
    </row>
    <row r="1013" ht="15.75" customHeight="1">
      <c r="A1013" s="1" t="str">
        <f t="array" ref="A1013">INDEX(Reference!$A$2:$A$18, INT((ROW()-2)/(18*3*2)) + 1)</f>
        <v>Eastern Visayas</v>
      </c>
      <c r="B1013" s="2" t="str">
        <f t="array" ref="B1013">INDEX(Reference!$C$2:$C$19, MOD(ROW()-2, 18) + 1)</f>
        <v>....Manufacturing</v>
      </c>
      <c r="C1013" s="1" t="str">
        <f t="shared" si="1"/>
        <v>Sub</v>
      </c>
      <c r="D1013" s="1">
        <f t="shared" si="2"/>
        <v>2024</v>
      </c>
      <c r="E1013" s="1" t="str">
        <f t="shared" si="3"/>
        <v>At Current Prices</v>
      </c>
      <c r="F1013" s="3">
        <v>5.7601672E7</v>
      </c>
    </row>
    <row r="1014" ht="15.75" customHeight="1">
      <c r="A1014" s="1" t="str">
        <f t="array" ref="A1014">INDEX(Reference!$A$2:$A$18, INT((ROW()-2)/(18*3*2)) + 1)</f>
        <v>Eastern Visayas</v>
      </c>
      <c r="B1014" s="2" t="str">
        <f t="array" ref="B1014">INDEX(Reference!$C$2:$C$19, MOD(ROW()-2, 18) + 1)</f>
        <v>....Electricity, steam, water and waste management</v>
      </c>
      <c r="C1014" s="1" t="str">
        <f t="shared" si="1"/>
        <v>Sub</v>
      </c>
      <c r="D1014" s="1">
        <f t="shared" si="2"/>
        <v>2024</v>
      </c>
      <c r="E1014" s="1" t="str">
        <f t="shared" si="3"/>
        <v>At Current Prices</v>
      </c>
      <c r="F1014" s="3">
        <v>5.9190934E7</v>
      </c>
    </row>
    <row r="1015" ht="15.75" customHeight="1">
      <c r="A1015" s="1" t="str">
        <f t="array" ref="A1015">INDEX(Reference!$A$2:$A$18, INT((ROW()-2)/(18*3*2)) + 1)</f>
        <v>Eastern Visayas</v>
      </c>
      <c r="B1015" s="2" t="str">
        <f t="array" ref="B1015">INDEX(Reference!$C$2:$C$19, MOD(ROW()-2, 18) + 1)</f>
        <v>....Construction</v>
      </c>
      <c r="C1015" s="1" t="str">
        <f t="shared" si="1"/>
        <v>Sub</v>
      </c>
      <c r="D1015" s="1">
        <f t="shared" si="2"/>
        <v>2024</v>
      </c>
      <c r="E1015" s="1" t="str">
        <f t="shared" si="3"/>
        <v>At Current Prices</v>
      </c>
      <c r="F1015" s="3">
        <v>1.03433278E8</v>
      </c>
    </row>
    <row r="1016" ht="15.75" customHeight="1">
      <c r="A1016" s="1" t="str">
        <f t="array" ref="A1016">INDEX(Reference!$A$2:$A$18, INT((ROW()-2)/(18*3*2)) + 1)</f>
        <v>Eastern Visayas</v>
      </c>
      <c r="B1016" s="2" t="str">
        <f t="array" ref="B1016">INDEX(Reference!$C$2:$C$19, MOD(ROW()-2, 18) + 1)</f>
        <v>..Services</v>
      </c>
      <c r="C1016" s="1" t="str">
        <f t="shared" si="1"/>
        <v>Main</v>
      </c>
      <c r="D1016" s="1">
        <f t="shared" si="2"/>
        <v>2024</v>
      </c>
      <c r="E1016" s="1" t="str">
        <f t="shared" si="3"/>
        <v>At Current Prices</v>
      </c>
      <c r="F1016" s="3">
        <v>3.15574724E8</v>
      </c>
    </row>
    <row r="1017" ht="15.75" customHeight="1">
      <c r="A1017" s="1" t="str">
        <f t="array" ref="A1017">INDEX(Reference!$A$2:$A$18, INT((ROW()-2)/(18*3*2)) + 1)</f>
        <v>Eastern Visayas</v>
      </c>
      <c r="B1017" s="2" t="str">
        <f t="array" ref="B1017">INDEX(Reference!$C$2:$C$19, MOD(ROW()-2, 18) + 1)</f>
        <v>....Wholesale and retail trade; repair of motor vehicles and motorcycles</v>
      </c>
      <c r="C1017" s="1" t="str">
        <f t="shared" si="1"/>
        <v>Sub</v>
      </c>
      <c r="D1017" s="1">
        <f t="shared" si="2"/>
        <v>2024</v>
      </c>
      <c r="E1017" s="1" t="str">
        <f t="shared" si="3"/>
        <v>At Current Prices</v>
      </c>
      <c r="F1017" s="3">
        <v>7.6428979E7</v>
      </c>
    </row>
    <row r="1018" ht="15.75" customHeight="1">
      <c r="A1018" s="1" t="str">
        <f t="array" ref="A1018">INDEX(Reference!$A$2:$A$18, INT((ROW()-2)/(18*3*2)) + 1)</f>
        <v>Eastern Visayas</v>
      </c>
      <c r="B1018" s="2" t="str">
        <f t="array" ref="B1018">INDEX(Reference!$C$2:$C$19, MOD(ROW()-2, 18) + 1)</f>
        <v>....Transportation and storage</v>
      </c>
      <c r="C1018" s="1" t="str">
        <f t="shared" si="1"/>
        <v>Sub</v>
      </c>
      <c r="D1018" s="1">
        <f t="shared" si="2"/>
        <v>2024</v>
      </c>
      <c r="E1018" s="1" t="str">
        <f t="shared" si="3"/>
        <v>At Current Prices</v>
      </c>
      <c r="F1018" s="3">
        <v>3.6934403E7</v>
      </c>
    </row>
    <row r="1019" ht="15.75" customHeight="1">
      <c r="A1019" s="1" t="str">
        <f t="array" ref="A1019">INDEX(Reference!$A$2:$A$18, INT((ROW()-2)/(18*3*2)) + 1)</f>
        <v>Eastern Visayas</v>
      </c>
      <c r="B1019" s="2" t="str">
        <f t="array" ref="B1019">INDEX(Reference!$C$2:$C$19, MOD(ROW()-2, 18) + 1)</f>
        <v>....Accommodation and food service activities</v>
      </c>
      <c r="C1019" s="1" t="str">
        <f t="shared" si="1"/>
        <v>Sub</v>
      </c>
      <c r="D1019" s="1">
        <f t="shared" si="2"/>
        <v>2024</v>
      </c>
      <c r="E1019" s="1" t="str">
        <f t="shared" si="3"/>
        <v>At Current Prices</v>
      </c>
      <c r="F1019" s="3">
        <v>4245022.0</v>
      </c>
    </row>
    <row r="1020" ht="15.75" customHeight="1">
      <c r="A1020" s="1" t="str">
        <f t="array" ref="A1020">INDEX(Reference!$A$2:$A$18, INT((ROW()-2)/(18*3*2)) + 1)</f>
        <v>Eastern Visayas</v>
      </c>
      <c r="B1020" s="2" t="str">
        <f t="array" ref="B1020">INDEX(Reference!$C$2:$C$19, MOD(ROW()-2, 18) + 1)</f>
        <v>....Information and communication</v>
      </c>
      <c r="C1020" s="1" t="str">
        <f t="shared" si="1"/>
        <v>Sub</v>
      </c>
      <c r="D1020" s="1">
        <f t="shared" si="2"/>
        <v>2024</v>
      </c>
      <c r="E1020" s="1" t="str">
        <f t="shared" si="3"/>
        <v>At Current Prices</v>
      </c>
      <c r="F1020" s="3">
        <v>1.9399068E7</v>
      </c>
    </row>
    <row r="1021" ht="15.75" customHeight="1">
      <c r="A1021" s="1" t="str">
        <f t="array" ref="A1021">INDEX(Reference!$A$2:$A$18, INT((ROW()-2)/(18*3*2)) + 1)</f>
        <v>Eastern Visayas</v>
      </c>
      <c r="B1021" s="2" t="str">
        <f t="array" ref="B1021">INDEX(Reference!$C$2:$C$19, MOD(ROW()-2, 18) + 1)</f>
        <v>....Financial and insurance activities</v>
      </c>
      <c r="C1021" s="1" t="str">
        <f t="shared" si="1"/>
        <v>Sub</v>
      </c>
      <c r="D1021" s="1">
        <f t="shared" si="2"/>
        <v>2024</v>
      </c>
      <c r="E1021" s="1" t="str">
        <f t="shared" si="3"/>
        <v>At Current Prices</v>
      </c>
      <c r="F1021" s="3">
        <v>5.0220786E7</v>
      </c>
    </row>
    <row r="1022" ht="15.75" customHeight="1">
      <c r="A1022" s="1" t="str">
        <f t="array" ref="A1022">INDEX(Reference!$A$2:$A$18, INT((ROW()-2)/(18*3*2)) + 1)</f>
        <v>Eastern Visayas</v>
      </c>
      <c r="B1022" s="2" t="str">
        <f t="array" ref="B1022">INDEX(Reference!$C$2:$C$19, MOD(ROW()-2, 18) + 1)</f>
        <v>....Real estate and ownership of dwellings</v>
      </c>
      <c r="C1022" s="1" t="str">
        <f t="shared" si="1"/>
        <v>Sub</v>
      </c>
      <c r="D1022" s="1">
        <f t="shared" si="2"/>
        <v>2024</v>
      </c>
      <c r="E1022" s="1" t="str">
        <f t="shared" si="3"/>
        <v>At Current Prices</v>
      </c>
      <c r="F1022" s="3">
        <v>3.070453E7</v>
      </c>
    </row>
    <row r="1023" ht="15.75" customHeight="1">
      <c r="A1023" s="1" t="str">
        <f t="array" ref="A1023">INDEX(Reference!$A$2:$A$18, INT((ROW()-2)/(18*3*2)) + 1)</f>
        <v>Eastern Visayas</v>
      </c>
      <c r="B1023" s="2" t="str">
        <f t="array" ref="B1023">INDEX(Reference!$C$2:$C$19, MOD(ROW()-2, 18) + 1)</f>
        <v>....Professional and business services</v>
      </c>
      <c r="C1023" s="1" t="str">
        <f t="shared" si="1"/>
        <v>Sub</v>
      </c>
      <c r="D1023" s="1">
        <f t="shared" si="2"/>
        <v>2024</v>
      </c>
      <c r="E1023" s="1" t="str">
        <f t="shared" si="3"/>
        <v>At Current Prices</v>
      </c>
      <c r="F1023" s="3">
        <v>4228544.0</v>
      </c>
    </row>
    <row r="1024" ht="15.75" customHeight="1">
      <c r="A1024" s="1" t="str">
        <f t="array" ref="A1024">INDEX(Reference!$A$2:$A$18, INT((ROW()-2)/(18*3*2)) + 1)</f>
        <v>Eastern Visayas</v>
      </c>
      <c r="B1024" s="2" t="str">
        <f t="array" ref="B1024">INDEX(Reference!$C$2:$C$19, MOD(ROW()-2, 18) + 1)</f>
        <v>....Public administration and defense; compulsory social activities</v>
      </c>
      <c r="C1024" s="1" t="str">
        <f t="shared" si="1"/>
        <v>Sub</v>
      </c>
      <c r="D1024" s="1">
        <f t="shared" si="2"/>
        <v>2024</v>
      </c>
      <c r="E1024" s="1" t="str">
        <f t="shared" si="3"/>
        <v>At Current Prices</v>
      </c>
      <c r="F1024" s="3">
        <v>2.2256129E7</v>
      </c>
    </row>
    <row r="1025" ht="15.75" customHeight="1">
      <c r="A1025" s="1" t="str">
        <f t="array" ref="A1025">INDEX(Reference!$A$2:$A$18, INT((ROW()-2)/(18*3*2)) + 1)</f>
        <v>Eastern Visayas</v>
      </c>
      <c r="B1025" s="2" t="str">
        <f t="array" ref="B1025">INDEX(Reference!$C$2:$C$19, MOD(ROW()-2, 18) + 1)</f>
        <v>....Education</v>
      </c>
      <c r="C1025" s="1" t="str">
        <f t="shared" si="1"/>
        <v>Sub</v>
      </c>
      <c r="D1025" s="1">
        <f t="shared" si="2"/>
        <v>2024</v>
      </c>
      <c r="E1025" s="1" t="str">
        <f t="shared" si="3"/>
        <v>At Current Prices</v>
      </c>
      <c r="F1025" s="3">
        <v>4.8536873E7</v>
      </c>
    </row>
    <row r="1026" ht="15.75" customHeight="1">
      <c r="A1026" s="1" t="str">
        <f t="array" ref="A1026">INDEX(Reference!$A$2:$A$18, INT((ROW()-2)/(18*3*2)) + 1)</f>
        <v>Eastern Visayas</v>
      </c>
      <c r="B1026" s="2" t="str">
        <f t="array" ref="B1026">INDEX(Reference!$C$2:$C$19, MOD(ROW()-2, 18) + 1)</f>
        <v>....Human health and social work activities</v>
      </c>
      <c r="C1026" s="1" t="str">
        <f t="shared" si="1"/>
        <v>Sub</v>
      </c>
      <c r="D1026" s="1">
        <f t="shared" si="2"/>
        <v>2024</v>
      </c>
      <c r="E1026" s="1" t="str">
        <f t="shared" si="3"/>
        <v>At Current Prices</v>
      </c>
      <c r="F1026" s="3">
        <v>1.2013289E7</v>
      </c>
    </row>
    <row r="1027" ht="15.75" customHeight="1">
      <c r="A1027" s="1" t="str">
        <f t="array" ref="A1027">INDEX(Reference!$A$2:$A$18, INT((ROW()-2)/(18*3*2)) + 1)</f>
        <v>Eastern Visayas</v>
      </c>
      <c r="B1027" s="2" t="str">
        <f t="array" ref="B1027">INDEX(Reference!$C$2:$C$19, MOD(ROW()-2, 18) + 1)</f>
        <v>....Other services</v>
      </c>
      <c r="C1027" s="1" t="str">
        <f t="shared" si="1"/>
        <v>Sub</v>
      </c>
      <c r="D1027" s="1">
        <f t="shared" si="2"/>
        <v>2024</v>
      </c>
      <c r="E1027" s="1" t="str">
        <f t="shared" si="3"/>
        <v>At Current Prices</v>
      </c>
      <c r="F1027" s="3">
        <v>1.0607101E7</v>
      </c>
    </row>
    <row r="1028" ht="15.75" customHeight="1">
      <c r="A1028" s="1" t="str">
        <f t="array" ref="A1028">INDEX(Reference!$A$2:$A$18, INT((ROW()-2)/(18*3*2)) + 1)</f>
        <v>Eastern Visayas</v>
      </c>
      <c r="B1028" s="2" t="str">
        <f t="array" ref="B1028">INDEX(Reference!$C$2:$C$19, MOD(ROW()-2, 18) + 1)</f>
        <v>..Agriculture, forestry, and fishing</v>
      </c>
      <c r="C1028" s="1" t="str">
        <f t="shared" si="1"/>
        <v>Main</v>
      </c>
      <c r="D1028" s="1">
        <f t="shared" si="2"/>
        <v>2022</v>
      </c>
      <c r="E1028" s="1" t="str">
        <f t="shared" si="3"/>
        <v>At Constant 2018 Prices</v>
      </c>
      <c r="F1028" s="3">
        <v>6.003445E7</v>
      </c>
    </row>
    <row r="1029" ht="15.75" customHeight="1">
      <c r="A1029" s="1" t="str">
        <f t="array" ref="A1029">INDEX(Reference!$A$2:$A$18, INT((ROW()-2)/(18*3*2)) + 1)</f>
        <v>Eastern Visayas</v>
      </c>
      <c r="B1029" s="2" t="str">
        <f t="array" ref="B1029">INDEX(Reference!$C$2:$C$19, MOD(ROW()-2, 18) + 1)</f>
        <v>..Industry</v>
      </c>
      <c r="C1029" s="1" t="str">
        <f t="shared" si="1"/>
        <v>Main</v>
      </c>
      <c r="D1029" s="1">
        <f t="shared" si="2"/>
        <v>2022</v>
      </c>
      <c r="E1029" s="1" t="str">
        <f t="shared" si="3"/>
        <v>At Constant 2018 Prices</v>
      </c>
      <c r="F1029" s="3">
        <v>1.99838016E8</v>
      </c>
    </row>
    <row r="1030" ht="15.75" customHeight="1">
      <c r="A1030" s="1" t="str">
        <f t="array" ref="A1030">INDEX(Reference!$A$2:$A$18, INT((ROW()-2)/(18*3*2)) + 1)</f>
        <v>Eastern Visayas</v>
      </c>
      <c r="B1030" s="2" t="str">
        <f t="array" ref="B1030">INDEX(Reference!$C$2:$C$19, MOD(ROW()-2, 18) + 1)</f>
        <v>....Mining and quarrying</v>
      </c>
      <c r="C1030" s="1" t="str">
        <f t="shared" si="1"/>
        <v>Sub</v>
      </c>
      <c r="D1030" s="1">
        <f t="shared" si="2"/>
        <v>2022</v>
      </c>
      <c r="E1030" s="1" t="str">
        <f t="shared" si="3"/>
        <v>At Constant 2018 Prices</v>
      </c>
      <c r="F1030" s="3">
        <v>798393.0</v>
      </c>
    </row>
    <row r="1031" ht="15.75" customHeight="1">
      <c r="A1031" s="1" t="str">
        <f t="array" ref="A1031">INDEX(Reference!$A$2:$A$18, INT((ROW()-2)/(18*3*2)) + 1)</f>
        <v>Eastern Visayas</v>
      </c>
      <c r="B1031" s="2" t="str">
        <f t="array" ref="B1031">INDEX(Reference!$C$2:$C$19, MOD(ROW()-2, 18) + 1)</f>
        <v>....Manufacturing</v>
      </c>
      <c r="C1031" s="1" t="str">
        <f t="shared" si="1"/>
        <v>Sub</v>
      </c>
      <c r="D1031" s="1">
        <f t="shared" si="2"/>
        <v>2022</v>
      </c>
      <c r="E1031" s="1" t="str">
        <f t="shared" si="3"/>
        <v>At Constant 2018 Prices</v>
      </c>
      <c r="F1031" s="3">
        <v>8.4424516E7</v>
      </c>
    </row>
    <row r="1032" ht="15.75" customHeight="1">
      <c r="A1032" s="1" t="str">
        <f t="array" ref="A1032">INDEX(Reference!$A$2:$A$18, INT((ROW()-2)/(18*3*2)) + 1)</f>
        <v>Eastern Visayas</v>
      </c>
      <c r="B1032" s="2" t="str">
        <f t="array" ref="B1032">INDEX(Reference!$C$2:$C$19, MOD(ROW()-2, 18) + 1)</f>
        <v>....Electricity, steam, water and waste management</v>
      </c>
      <c r="C1032" s="1" t="str">
        <f t="shared" si="1"/>
        <v>Sub</v>
      </c>
      <c r="D1032" s="1">
        <f t="shared" si="2"/>
        <v>2022</v>
      </c>
      <c r="E1032" s="1" t="str">
        <f t="shared" si="3"/>
        <v>At Constant 2018 Prices</v>
      </c>
      <c r="F1032" s="3">
        <v>4.2428381E7</v>
      </c>
    </row>
    <row r="1033" ht="15.75" customHeight="1">
      <c r="A1033" s="1" t="str">
        <f t="array" ref="A1033">INDEX(Reference!$A$2:$A$18, INT((ROW()-2)/(18*3*2)) + 1)</f>
        <v>Eastern Visayas</v>
      </c>
      <c r="B1033" s="2" t="str">
        <f t="array" ref="B1033">INDEX(Reference!$C$2:$C$19, MOD(ROW()-2, 18) + 1)</f>
        <v>....Construction</v>
      </c>
      <c r="C1033" s="1" t="str">
        <f t="shared" si="1"/>
        <v>Sub</v>
      </c>
      <c r="D1033" s="1">
        <f t="shared" si="2"/>
        <v>2022</v>
      </c>
      <c r="E1033" s="1" t="str">
        <f t="shared" si="3"/>
        <v>At Constant 2018 Prices</v>
      </c>
      <c r="F1033" s="3">
        <v>7.2186726E7</v>
      </c>
    </row>
    <row r="1034" ht="15.75" customHeight="1">
      <c r="A1034" s="1" t="str">
        <f t="array" ref="A1034">INDEX(Reference!$A$2:$A$18, INT((ROW()-2)/(18*3*2)) + 1)</f>
        <v>Eastern Visayas</v>
      </c>
      <c r="B1034" s="2" t="str">
        <f t="array" ref="B1034">INDEX(Reference!$C$2:$C$19, MOD(ROW()-2, 18) + 1)</f>
        <v>..Services</v>
      </c>
      <c r="C1034" s="1" t="str">
        <f t="shared" si="1"/>
        <v>Main</v>
      </c>
      <c r="D1034" s="1">
        <f t="shared" si="2"/>
        <v>2022</v>
      </c>
      <c r="E1034" s="1" t="str">
        <f t="shared" si="3"/>
        <v>At Constant 2018 Prices</v>
      </c>
      <c r="F1034" s="3">
        <v>2.32307788E8</v>
      </c>
    </row>
    <row r="1035" ht="15.75" customHeight="1">
      <c r="A1035" s="1" t="str">
        <f t="array" ref="A1035">INDEX(Reference!$A$2:$A$18, INT((ROW()-2)/(18*3*2)) + 1)</f>
        <v>Eastern Visayas</v>
      </c>
      <c r="B1035" s="2" t="str">
        <f t="array" ref="B1035">INDEX(Reference!$C$2:$C$19, MOD(ROW()-2, 18) + 1)</f>
        <v>....Wholesale and retail trade; repair of motor vehicles and motorcycles</v>
      </c>
      <c r="C1035" s="1" t="str">
        <f t="shared" si="1"/>
        <v>Sub</v>
      </c>
      <c r="D1035" s="1">
        <f t="shared" si="2"/>
        <v>2022</v>
      </c>
      <c r="E1035" s="1" t="str">
        <f t="shared" si="3"/>
        <v>At Constant 2018 Prices</v>
      </c>
      <c r="F1035" s="3">
        <v>5.8577504E7</v>
      </c>
    </row>
    <row r="1036" ht="15.75" customHeight="1">
      <c r="A1036" s="1" t="str">
        <f t="array" ref="A1036">INDEX(Reference!$A$2:$A$18, INT((ROW()-2)/(18*3*2)) + 1)</f>
        <v>Eastern Visayas</v>
      </c>
      <c r="B1036" s="2" t="str">
        <f t="array" ref="B1036">INDEX(Reference!$C$2:$C$19, MOD(ROW()-2, 18) + 1)</f>
        <v>....Transportation and storage</v>
      </c>
      <c r="C1036" s="1" t="str">
        <f t="shared" si="1"/>
        <v>Sub</v>
      </c>
      <c r="D1036" s="1">
        <f t="shared" si="2"/>
        <v>2022</v>
      </c>
      <c r="E1036" s="1" t="str">
        <f t="shared" si="3"/>
        <v>At Constant 2018 Prices</v>
      </c>
      <c r="F1036" s="3">
        <v>1.879808E7</v>
      </c>
    </row>
    <row r="1037" ht="15.75" customHeight="1">
      <c r="A1037" s="1" t="str">
        <f t="array" ref="A1037">INDEX(Reference!$A$2:$A$18, INT((ROW()-2)/(18*3*2)) + 1)</f>
        <v>Eastern Visayas</v>
      </c>
      <c r="B1037" s="2" t="str">
        <f t="array" ref="B1037">INDEX(Reference!$C$2:$C$19, MOD(ROW()-2, 18) + 1)</f>
        <v>....Accommodation and food service activities</v>
      </c>
      <c r="C1037" s="1" t="str">
        <f t="shared" si="1"/>
        <v>Sub</v>
      </c>
      <c r="D1037" s="1">
        <f t="shared" si="2"/>
        <v>2022</v>
      </c>
      <c r="E1037" s="1" t="str">
        <f t="shared" si="3"/>
        <v>At Constant 2018 Prices</v>
      </c>
      <c r="F1037" s="3">
        <v>2349539.0</v>
      </c>
    </row>
    <row r="1038" ht="15.75" customHeight="1">
      <c r="A1038" s="1" t="str">
        <f t="array" ref="A1038">INDEX(Reference!$A$2:$A$18, INT((ROW()-2)/(18*3*2)) + 1)</f>
        <v>Eastern Visayas</v>
      </c>
      <c r="B1038" s="2" t="str">
        <f t="array" ref="B1038">INDEX(Reference!$C$2:$C$19, MOD(ROW()-2, 18) + 1)</f>
        <v>....Information and communication</v>
      </c>
      <c r="C1038" s="1" t="str">
        <f t="shared" si="1"/>
        <v>Sub</v>
      </c>
      <c r="D1038" s="1">
        <f t="shared" si="2"/>
        <v>2022</v>
      </c>
      <c r="E1038" s="1" t="str">
        <f t="shared" si="3"/>
        <v>At Constant 2018 Prices</v>
      </c>
      <c r="F1038" s="3">
        <v>1.6636095E7</v>
      </c>
    </row>
    <row r="1039" ht="15.75" customHeight="1">
      <c r="A1039" s="1" t="str">
        <f t="array" ref="A1039">INDEX(Reference!$A$2:$A$18, INT((ROW()-2)/(18*3*2)) + 1)</f>
        <v>Eastern Visayas</v>
      </c>
      <c r="B1039" s="2" t="str">
        <f t="array" ref="B1039">INDEX(Reference!$C$2:$C$19, MOD(ROW()-2, 18) + 1)</f>
        <v>....Financial and insurance activities</v>
      </c>
      <c r="C1039" s="1" t="str">
        <f t="shared" si="1"/>
        <v>Sub</v>
      </c>
      <c r="D1039" s="1">
        <f t="shared" si="2"/>
        <v>2022</v>
      </c>
      <c r="E1039" s="1" t="str">
        <f t="shared" si="3"/>
        <v>At Constant 2018 Prices</v>
      </c>
      <c r="F1039" s="3">
        <v>3.5755044E7</v>
      </c>
    </row>
    <row r="1040" ht="15.75" customHeight="1">
      <c r="A1040" s="1" t="str">
        <f t="array" ref="A1040">INDEX(Reference!$A$2:$A$18, INT((ROW()-2)/(18*3*2)) + 1)</f>
        <v>Eastern Visayas</v>
      </c>
      <c r="B1040" s="2" t="str">
        <f t="array" ref="B1040">INDEX(Reference!$C$2:$C$19, MOD(ROW()-2, 18) + 1)</f>
        <v>....Real estate and ownership of dwellings</v>
      </c>
      <c r="C1040" s="1" t="str">
        <f t="shared" si="1"/>
        <v>Sub</v>
      </c>
      <c r="D1040" s="1">
        <f t="shared" si="2"/>
        <v>2022</v>
      </c>
      <c r="E1040" s="1" t="str">
        <f t="shared" si="3"/>
        <v>At Constant 2018 Prices</v>
      </c>
      <c r="F1040" s="3">
        <v>2.4661083E7</v>
      </c>
    </row>
    <row r="1041" ht="15.75" customHeight="1">
      <c r="A1041" s="1" t="str">
        <f t="array" ref="A1041">INDEX(Reference!$A$2:$A$18, INT((ROW()-2)/(18*3*2)) + 1)</f>
        <v>Eastern Visayas</v>
      </c>
      <c r="B1041" s="2" t="str">
        <f t="array" ref="B1041">INDEX(Reference!$C$2:$C$19, MOD(ROW()-2, 18) + 1)</f>
        <v>....Professional and business services</v>
      </c>
      <c r="C1041" s="1" t="str">
        <f t="shared" si="1"/>
        <v>Sub</v>
      </c>
      <c r="D1041" s="1">
        <f t="shared" si="2"/>
        <v>2022</v>
      </c>
      <c r="E1041" s="1" t="str">
        <f t="shared" si="3"/>
        <v>At Constant 2018 Prices</v>
      </c>
      <c r="F1041" s="3">
        <v>3130940.0</v>
      </c>
    </row>
    <row r="1042" ht="15.75" customHeight="1">
      <c r="A1042" s="1" t="str">
        <f t="array" ref="A1042">INDEX(Reference!$A$2:$A$18, INT((ROW()-2)/(18*3*2)) + 1)</f>
        <v>Eastern Visayas</v>
      </c>
      <c r="B1042" s="2" t="str">
        <f t="array" ref="B1042">INDEX(Reference!$C$2:$C$19, MOD(ROW()-2, 18) + 1)</f>
        <v>....Public administration and defense; compulsory social activities</v>
      </c>
      <c r="C1042" s="1" t="str">
        <f t="shared" si="1"/>
        <v>Sub</v>
      </c>
      <c r="D1042" s="1">
        <f t="shared" si="2"/>
        <v>2022</v>
      </c>
      <c r="E1042" s="1" t="str">
        <f t="shared" si="3"/>
        <v>At Constant 2018 Prices</v>
      </c>
      <c r="F1042" s="3">
        <v>1.6081072E7</v>
      </c>
    </row>
    <row r="1043" ht="15.75" customHeight="1">
      <c r="A1043" s="1" t="str">
        <f t="array" ref="A1043">INDEX(Reference!$A$2:$A$18, INT((ROW()-2)/(18*3*2)) + 1)</f>
        <v>Eastern Visayas</v>
      </c>
      <c r="B1043" s="2" t="str">
        <f t="array" ref="B1043">INDEX(Reference!$C$2:$C$19, MOD(ROW()-2, 18) + 1)</f>
        <v>....Education</v>
      </c>
      <c r="C1043" s="1" t="str">
        <f t="shared" si="1"/>
        <v>Sub</v>
      </c>
      <c r="D1043" s="1">
        <f t="shared" si="2"/>
        <v>2022</v>
      </c>
      <c r="E1043" s="1" t="str">
        <f t="shared" si="3"/>
        <v>At Constant 2018 Prices</v>
      </c>
      <c r="F1043" s="3">
        <v>4.0212827E7</v>
      </c>
    </row>
    <row r="1044" ht="15.75" customHeight="1">
      <c r="A1044" s="1" t="str">
        <f t="array" ref="A1044">INDEX(Reference!$A$2:$A$18, INT((ROW()-2)/(18*3*2)) + 1)</f>
        <v>Eastern Visayas</v>
      </c>
      <c r="B1044" s="2" t="str">
        <f t="array" ref="B1044">INDEX(Reference!$C$2:$C$19, MOD(ROW()-2, 18) + 1)</f>
        <v>....Human health and social work activities</v>
      </c>
      <c r="C1044" s="1" t="str">
        <f t="shared" si="1"/>
        <v>Sub</v>
      </c>
      <c r="D1044" s="1">
        <f t="shared" si="2"/>
        <v>2022</v>
      </c>
      <c r="E1044" s="1" t="str">
        <f t="shared" si="3"/>
        <v>At Constant 2018 Prices</v>
      </c>
      <c r="F1044" s="3">
        <v>8591983.0</v>
      </c>
    </row>
    <row r="1045" ht="15.75" customHeight="1">
      <c r="A1045" s="1" t="str">
        <f t="array" ref="A1045">INDEX(Reference!$A$2:$A$18, INT((ROW()-2)/(18*3*2)) + 1)</f>
        <v>Eastern Visayas</v>
      </c>
      <c r="B1045" s="2" t="str">
        <f t="array" ref="B1045">INDEX(Reference!$C$2:$C$19, MOD(ROW()-2, 18) + 1)</f>
        <v>....Other services</v>
      </c>
      <c r="C1045" s="1" t="str">
        <f t="shared" si="1"/>
        <v>Sub</v>
      </c>
      <c r="D1045" s="1">
        <f t="shared" si="2"/>
        <v>2022</v>
      </c>
      <c r="E1045" s="1" t="str">
        <f t="shared" si="3"/>
        <v>At Constant 2018 Prices</v>
      </c>
      <c r="F1045" s="3">
        <v>7513619.0</v>
      </c>
    </row>
    <row r="1046" ht="15.75" customHeight="1">
      <c r="A1046" s="1" t="str">
        <f t="array" ref="A1046">INDEX(Reference!$A$2:$A$18, INT((ROW()-2)/(18*3*2)) + 1)</f>
        <v>Eastern Visayas</v>
      </c>
      <c r="B1046" s="2" t="str">
        <f t="array" ref="B1046">INDEX(Reference!$C$2:$C$19, MOD(ROW()-2, 18) + 1)</f>
        <v>..Agriculture, forestry, and fishing</v>
      </c>
      <c r="C1046" s="1" t="str">
        <f t="shared" si="1"/>
        <v>Main</v>
      </c>
      <c r="D1046" s="1">
        <f t="shared" si="2"/>
        <v>2023</v>
      </c>
      <c r="E1046" s="1" t="str">
        <f t="shared" si="3"/>
        <v>At Constant 2018 Prices</v>
      </c>
      <c r="F1046" s="3">
        <v>6.2432747E7</v>
      </c>
    </row>
    <row r="1047" ht="15.75" customHeight="1">
      <c r="A1047" s="1" t="str">
        <f t="array" ref="A1047">INDEX(Reference!$A$2:$A$18, INT((ROW()-2)/(18*3*2)) + 1)</f>
        <v>Eastern Visayas</v>
      </c>
      <c r="B1047" s="2" t="str">
        <f t="array" ref="B1047">INDEX(Reference!$C$2:$C$19, MOD(ROW()-2, 18) + 1)</f>
        <v>..Industry</v>
      </c>
      <c r="C1047" s="1" t="str">
        <f t="shared" si="1"/>
        <v>Main</v>
      </c>
      <c r="D1047" s="1">
        <f t="shared" si="2"/>
        <v>2023</v>
      </c>
      <c r="E1047" s="1" t="str">
        <f t="shared" si="3"/>
        <v>At Constant 2018 Prices</v>
      </c>
      <c r="F1047" s="3">
        <v>2.1148804E8</v>
      </c>
    </row>
    <row r="1048" ht="15.75" customHeight="1">
      <c r="A1048" s="1" t="str">
        <f t="array" ref="A1048">INDEX(Reference!$A$2:$A$18, INT((ROW()-2)/(18*3*2)) + 1)</f>
        <v>Eastern Visayas</v>
      </c>
      <c r="B1048" s="2" t="str">
        <f t="array" ref="B1048">INDEX(Reference!$C$2:$C$19, MOD(ROW()-2, 18) + 1)</f>
        <v>....Mining and quarrying</v>
      </c>
      <c r="C1048" s="1" t="str">
        <f t="shared" si="1"/>
        <v>Sub</v>
      </c>
      <c r="D1048" s="1">
        <f t="shared" si="2"/>
        <v>2023</v>
      </c>
      <c r="E1048" s="1" t="str">
        <f t="shared" si="3"/>
        <v>At Constant 2018 Prices</v>
      </c>
      <c r="F1048" s="3">
        <v>1340397.0</v>
      </c>
    </row>
    <row r="1049" ht="15.75" customHeight="1">
      <c r="A1049" s="1" t="str">
        <f t="array" ref="A1049">INDEX(Reference!$A$2:$A$18, INT((ROW()-2)/(18*3*2)) + 1)</f>
        <v>Eastern Visayas</v>
      </c>
      <c r="B1049" s="2" t="str">
        <f t="array" ref="B1049">INDEX(Reference!$C$2:$C$19, MOD(ROW()-2, 18) + 1)</f>
        <v>....Manufacturing</v>
      </c>
      <c r="C1049" s="1" t="str">
        <f t="shared" si="1"/>
        <v>Sub</v>
      </c>
      <c r="D1049" s="1">
        <f t="shared" si="2"/>
        <v>2023</v>
      </c>
      <c r="E1049" s="1" t="str">
        <f t="shared" si="3"/>
        <v>At Constant 2018 Prices</v>
      </c>
      <c r="F1049" s="3">
        <v>8.5488695E7</v>
      </c>
    </row>
    <row r="1050" ht="15.75" customHeight="1">
      <c r="A1050" s="1" t="str">
        <f t="array" ref="A1050">INDEX(Reference!$A$2:$A$18, INT((ROW()-2)/(18*3*2)) + 1)</f>
        <v>Eastern Visayas</v>
      </c>
      <c r="B1050" s="2" t="str">
        <f t="array" ref="B1050">INDEX(Reference!$C$2:$C$19, MOD(ROW()-2, 18) + 1)</f>
        <v>....Electricity, steam, water and waste management</v>
      </c>
      <c r="C1050" s="1" t="str">
        <f t="shared" si="1"/>
        <v>Sub</v>
      </c>
      <c r="D1050" s="1">
        <f t="shared" si="2"/>
        <v>2023</v>
      </c>
      <c r="E1050" s="1" t="str">
        <f t="shared" si="3"/>
        <v>At Constant 2018 Prices</v>
      </c>
      <c r="F1050" s="3">
        <v>4.7319552E7</v>
      </c>
    </row>
    <row r="1051" ht="15.75" customHeight="1">
      <c r="A1051" s="1" t="str">
        <f t="array" ref="A1051">INDEX(Reference!$A$2:$A$18, INT((ROW()-2)/(18*3*2)) + 1)</f>
        <v>Eastern Visayas</v>
      </c>
      <c r="B1051" s="2" t="str">
        <f t="array" ref="B1051">INDEX(Reference!$C$2:$C$19, MOD(ROW()-2, 18) + 1)</f>
        <v>....Construction</v>
      </c>
      <c r="C1051" s="1" t="str">
        <f t="shared" si="1"/>
        <v>Sub</v>
      </c>
      <c r="D1051" s="1">
        <f t="shared" si="2"/>
        <v>2023</v>
      </c>
      <c r="E1051" s="1" t="str">
        <f t="shared" si="3"/>
        <v>At Constant 2018 Prices</v>
      </c>
      <c r="F1051" s="3">
        <v>7.7339396E7</v>
      </c>
    </row>
    <row r="1052" ht="15.75" customHeight="1">
      <c r="A1052" s="1" t="str">
        <f t="array" ref="A1052">INDEX(Reference!$A$2:$A$18, INT((ROW()-2)/(18*3*2)) + 1)</f>
        <v>Eastern Visayas</v>
      </c>
      <c r="B1052" s="2" t="str">
        <f t="array" ref="B1052">INDEX(Reference!$C$2:$C$19, MOD(ROW()-2, 18) + 1)</f>
        <v>..Services</v>
      </c>
      <c r="C1052" s="1" t="str">
        <f t="shared" si="1"/>
        <v>Main</v>
      </c>
      <c r="D1052" s="1">
        <f t="shared" si="2"/>
        <v>2023</v>
      </c>
      <c r="E1052" s="1" t="str">
        <f t="shared" si="3"/>
        <v>At Constant 2018 Prices</v>
      </c>
      <c r="F1052" s="3">
        <v>2.49302375E8</v>
      </c>
    </row>
    <row r="1053" ht="15.75" customHeight="1">
      <c r="A1053" s="1" t="str">
        <f t="array" ref="A1053">INDEX(Reference!$A$2:$A$18, INT((ROW()-2)/(18*3*2)) + 1)</f>
        <v>Eastern Visayas</v>
      </c>
      <c r="B1053" s="2" t="str">
        <f t="array" ref="B1053">INDEX(Reference!$C$2:$C$19, MOD(ROW()-2, 18) + 1)</f>
        <v>....Wholesale and retail trade; repair of motor vehicles and motorcycles</v>
      </c>
      <c r="C1053" s="1" t="str">
        <f t="shared" si="1"/>
        <v>Sub</v>
      </c>
      <c r="D1053" s="1">
        <f t="shared" si="2"/>
        <v>2023</v>
      </c>
      <c r="E1053" s="1" t="str">
        <f t="shared" si="3"/>
        <v>At Constant 2018 Prices</v>
      </c>
      <c r="F1053" s="3">
        <v>6.2943272E7</v>
      </c>
    </row>
    <row r="1054" ht="15.75" customHeight="1">
      <c r="A1054" s="1" t="str">
        <f t="array" ref="A1054">INDEX(Reference!$A$2:$A$18, INT((ROW()-2)/(18*3*2)) + 1)</f>
        <v>Eastern Visayas</v>
      </c>
      <c r="B1054" s="2" t="str">
        <f t="array" ref="B1054">INDEX(Reference!$C$2:$C$19, MOD(ROW()-2, 18) + 1)</f>
        <v>....Transportation and storage</v>
      </c>
      <c r="C1054" s="1" t="str">
        <f t="shared" si="1"/>
        <v>Sub</v>
      </c>
      <c r="D1054" s="1">
        <f t="shared" si="2"/>
        <v>2023</v>
      </c>
      <c r="E1054" s="1" t="str">
        <f t="shared" si="3"/>
        <v>At Constant 2018 Prices</v>
      </c>
      <c r="F1054" s="3">
        <v>2.3245652E7</v>
      </c>
    </row>
    <row r="1055" ht="15.75" customHeight="1">
      <c r="A1055" s="1" t="str">
        <f t="array" ref="A1055">INDEX(Reference!$A$2:$A$18, INT((ROW()-2)/(18*3*2)) + 1)</f>
        <v>Eastern Visayas</v>
      </c>
      <c r="B1055" s="2" t="str">
        <f t="array" ref="B1055">INDEX(Reference!$C$2:$C$19, MOD(ROW()-2, 18) + 1)</f>
        <v>....Accommodation and food service activities</v>
      </c>
      <c r="C1055" s="1" t="str">
        <f t="shared" si="1"/>
        <v>Sub</v>
      </c>
      <c r="D1055" s="1">
        <f t="shared" si="2"/>
        <v>2023</v>
      </c>
      <c r="E1055" s="1" t="str">
        <f t="shared" si="3"/>
        <v>At Constant 2018 Prices</v>
      </c>
      <c r="F1055" s="3">
        <v>2810105.0</v>
      </c>
    </row>
    <row r="1056" ht="15.75" customHeight="1">
      <c r="A1056" s="1" t="str">
        <f t="array" ref="A1056">INDEX(Reference!$A$2:$A$18, INT((ROW()-2)/(18*3*2)) + 1)</f>
        <v>Eastern Visayas</v>
      </c>
      <c r="B1056" s="2" t="str">
        <f t="array" ref="B1056">INDEX(Reference!$C$2:$C$19, MOD(ROW()-2, 18) + 1)</f>
        <v>....Information and communication</v>
      </c>
      <c r="C1056" s="1" t="str">
        <f t="shared" si="1"/>
        <v>Sub</v>
      </c>
      <c r="D1056" s="1">
        <f t="shared" si="2"/>
        <v>2023</v>
      </c>
      <c r="E1056" s="1" t="str">
        <f t="shared" si="3"/>
        <v>At Constant 2018 Prices</v>
      </c>
      <c r="F1056" s="3">
        <v>1.7608442E7</v>
      </c>
    </row>
    <row r="1057" ht="15.75" customHeight="1">
      <c r="A1057" s="1" t="str">
        <f t="array" ref="A1057">INDEX(Reference!$A$2:$A$18, INT((ROW()-2)/(18*3*2)) + 1)</f>
        <v>Eastern Visayas</v>
      </c>
      <c r="B1057" s="2" t="str">
        <f t="array" ref="B1057">INDEX(Reference!$C$2:$C$19, MOD(ROW()-2, 18) + 1)</f>
        <v>....Financial and insurance activities</v>
      </c>
      <c r="C1057" s="1" t="str">
        <f t="shared" si="1"/>
        <v>Sub</v>
      </c>
      <c r="D1057" s="1">
        <f t="shared" si="2"/>
        <v>2023</v>
      </c>
      <c r="E1057" s="1" t="str">
        <f t="shared" si="3"/>
        <v>At Constant 2018 Prices</v>
      </c>
      <c r="F1057" s="3">
        <v>3.8150246E7</v>
      </c>
    </row>
    <row r="1058" ht="15.75" customHeight="1">
      <c r="A1058" s="1" t="str">
        <f t="array" ref="A1058">INDEX(Reference!$A$2:$A$18, INT((ROW()-2)/(18*3*2)) + 1)</f>
        <v>Eastern Visayas</v>
      </c>
      <c r="B1058" s="2" t="str">
        <f t="array" ref="B1058">INDEX(Reference!$C$2:$C$19, MOD(ROW()-2, 18) + 1)</f>
        <v>....Real estate and ownership of dwellings</v>
      </c>
      <c r="C1058" s="1" t="str">
        <f t="shared" si="1"/>
        <v>Sub</v>
      </c>
      <c r="D1058" s="1">
        <f t="shared" si="2"/>
        <v>2023</v>
      </c>
      <c r="E1058" s="1" t="str">
        <f t="shared" si="3"/>
        <v>At Constant 2018 Prices</v>
      </c>
      <c r="F1058" s="3">
        <v>2.4873957E7</v>
      </c>
    </row>
    <row r="1059" ht="15.75" customHeight="1">
      <c r="A1059" s="1" t="str">
        <f t="array" ref="A1059">INDEX(Reference!$A$2:$A$18, INT((ROW()-2)/(18*3*2)) + 1)</f>
        <v>Eastern Visayas</v>
      </c>
      <c r="B1059" s="2" t="str">
        <f t="array" ref="B1059">INDEX(Reference!$C$2:$C$19, MOD(ROW()-2, 18) + 1)</f>
        <v>....Professional and business services</v>
      </c>
      <c r="C1059" s="1" t="str">
        <f t="shared" si="1"/>
        <v>Sub</v>
      </c>
      <c r="D1059" s="1">
        <f t="shared" si="2"/>
        <v>2023</v>
      </c>
      <c r="E1059" s="1" t="str">
        <f t="shared" si="3"/>
        <v>At Constant 2018 Prices</v>
      </c>
      <c r="F1059" s="3">
        <v>3396861.0</v>
      </c>
    </row>
    <row r="1060" ht="15.75" customHeight="1">
      <c r="A1060" s="1" t="str">
        <f t="array" ref="A1060">INDEX(Reference!$A$2:$A$18, INT((ROW()-2)/(18*3*2)) + 1)</f>
        <v>Eastern Visayas</v>
      </c>
      <c r="B1060" s="2" t="str">
        <f t="array" ref="B1060">INDEX(Reference!$C$2:$C$19, MOD(ROW()-2, 18) + 1)</f>
        <v>....Public administration and defense; compulsory social activities</v>
      </c>
      <c r="C1060" s="1" t="str">
        <f t="shared" si="1"/>
        <v>Sub</v>
      </c>
      <c r="D1060" s="1">
        <f t="shared" si="2"/>
        <v>2023</v>
      </c>
      <c r="E1060" s="1" t="str">
        <f t="shared" si="3"/>
        <v>At Constant 2018 Prices</v>
      </c>
      <c r="F1060" s="3">
        <v>1.6617547E7</v>
      </c>
    </row>
    <row r="1061" ht="15.75" customHeight="1">
      <c r="A1061" s="1" t="str">
        <f t="array" ref="A1061">INDEX(Reference!$A$2:$A$18, INT((ROW()-2)/(18*3*2)) + 1)</f>
        <v>Eastern Visayas</v>
      </c>
      <c r="B1061" s="2" t="str">
        <f t="array" ref="B1061">INDEX(Reference!$C$2:$C$19, MOD(ROW()-2, 18) + 1)</f>
        <v>....Education</v>
      </c>
      <c r="C1061" s="1" t="str">
        <f t="shared" si="1"/>
        <v>Sub</v>
      </c>
      <c r="D1061" s="1">
        <f t="shared" si="2"/>
        <v>2023</v>
      </c>
      <c r="E1061" s="1" t="str">
        <f t="shared" si="3"/>
        <v>At Constant 2018 Prices</v>
      </c>
      <c r="F1061" s="3">
        <v>4.2079975E7</v>
      </c>
    </row>
    <row r="1062" ht="15.75" customHeight="1">
      <c r="A1062" s="1" t="str">
        <f t="array" ref="A1062">INDEX(Reference!$A$2:$A$18, INT((ROW()-2)/(18*3*2)) + 1)</f>
        <v>Eastern Visayas</v>
      </c>
      <c r="B1062" s="2" t="str">
        <f t="array" ref="B1062">INDEX(Reference!$C$2:$C$19, MOD(ROW()-2, 18) + 1)</f>
        <v>....Human health and social work activities</v>
      </c>
      <c r="C1062" s="1" t="str">
        <f t="shared" si="1"/>
        <v>Sub</v>
      </c>
      <c r="D1062" s="1">
        <f t="shared" si="2"/>
        <v>2023</v>
      </c>
      <c r="E1062" s="1" t="str">
        <f t="shared" si="3"/>
        <v>At Constant 2018 Prices</v>
      </c>
      <c r="F1062" s="3">
        <v>9037015.0</v>
      </c>
    </row>
    <row r="1063" ht="15.75" customHeight="1">
      <c r="A1063" s="1" t="str">
        <f t="array" ref="A1063">INDEX(Reference!$A$2:$A$18, INT((ROW()-2)/(18*3*2)) + 1)</f>
        <v>Eastern Visayas</v>
      </c>
      <c r="B1063" s="2" t="str">
        <f t="array" ref="B1063">INDEX(Reference!$C$2:$C$19, MOD(ROW()-2, 18) + 1)</f>
        <v>....Other services</v>
      </c>
      <c r="C1063" s="1" t="str">
        <f t="shared" si="1"/>
        <v>Sub</v>
      </c>
      <c r="D1063" s="1">
        <f t="shared" si="2"/>
        <v>2023</v>
      </c>
      <c r="E1063" s="1" t="str">
        <f t="shared" si="3"/>
        <v>At Constant 2018 Prices</v>
      </c>
      <c r="F1063" s="3">
        <v>8539302.0</v>
      </c>
    </row>
    <row r="1064" ht="15.75" customHeight="1">
      <c r="A1064" s="1" t="str">
        <f t="array" ref="A1064">INDEX(Reference!$A$2:$A$18, INT((ROW()-2)/(18*3*2)) + 1)</f>
        <v>Eastern Visayas</v>
      </c>
      <c r="B1064" s="2" t="str">
        <f t="array" ref="B1064">INDEX(Reference!$C$2:$C$19, MOD(ROW()-2, 18) + 1)</f>
        <v>..Agriculture, forestry, and fishing</v>
      </c>
      <c r="C1064" s="1" t="str">
        <f t="shared" si="1"/>
        <v>Main</v>
      </c>
      <c r="D1064" s="1">
        <f t="shared" si="2"/>
        <v>2024</v>
      </c>
      <c r="E1064" s="1" t="str">
        <f t="shared" si="3"/>
        <v>At Constant 2018 Prices</v>
      </c>
      <c r="F1064" s="3">
        <v>6.4939227E7</v>
      </c>
    </row>
    <row r="1065" ht="15.75" customHeight="1">
      <c r="A1065" s="1" t="str">
        <f t="array" ref="A1065">INDEX(Reference!$A$2:$A$18, INT((ROW()-2)/(18*3*2)) + 1)</f>
        <v>Eastern Visayas</v>
      </c>
      <c r="B1065" s="2" t="str">
        <f t="array" ref="B1065">INDEX(Reference!$C$2:$C$19, MOD(ROW()-2, 18) + 1)</f>
        <v>..Industry</v>
      </c>
      <c r="C1065" s="1" t="str">
        <f t="shared" si="1"/>
        <v>Main</v>
      </c>
      <c r="D1065" s="1">
        <f t="shared" si="2"/>
        <v>2024</v>
      </c>
      <c r="E1065" s="1" t="str">
        <f t="shared" si="3"/>
        <v>At Constant 2018 Prices</v>
      </c>
      <c r="F1065" s="3">
        <v>2.23595863E8</v>
      </c>
    </row>
    <row r="1066" ht="15.75" customHeight="1">
      <c r="A1066" s="1" t="str">
        <f t="array" ref="A1066">INDEX(Reference!$A$2:$A$18, INT((ROW()-2)/(18*3*2)) + 1)</f>
        <v>Eastern Visayas</v>
      </c>
      <c r="B1066" s="2" t="str">
        <f t="array" ref="B1066">INDEX(Reference!$C$2:$C$19, MOD(ROW()-2, 18) + 1)</f>
        <v>....Mining and quarrying</v>
      </c>
      <c r="C1066" s="1" t="str">
        <f t="shared" si="1"/>
        <v>Sub</v>
      </c>
      <c r="D1066" s="1">
        <f t="shared" si="2"/>
        <v>2024</v>
      </c>
      <c r="E1066" s="1" t="str">
        <f t="shared" si="3"/>
        <v>At Constant 2018 Prices</v>
      </c>
      <c r="F1066" s="3">
        <v>1321181.0</v>
      </c>
    </row>
    <row r="1067" ht="15.75" customHeight="1">
      <c r="A1067" s="1" t="str">
        <f t="array" ref="A1067">INDEX(Reference!$A$2:$A$18, INT((ROW()-2)/(18*3*2)) + 1)</f>
        <v>Eastern Visayas</v>
      </c>
      <c r="B1067" s="2" t="str">
        <f t="array" ref="B1067">INDEX(Reference!$C$2:$C$19, MOD(ROW()-2, 18) + 1)</f>
        <v>....Manufacturing</v>
      </c>
      <c r="C1067" s="1" t="str">
        <f t="shared" si="1"/>
        <v>Sub</v>
      </c>
      <c r="D1067" s="1">
        <f t="shared" si="2"/>
        <v>2024</v>
      </c>
      <c r="E1067" s="1" t="str">
        <f t="shared" si="3"/>
        <v>At Constant 2018 Prices</v>
      </c>
      <c r="F1067" s="3">
        <v>8.6231617E7</v>
      </c>
    </row>
    <row r="1068" ht="15.75" customHeight="1">
      <c r="A1068" s="1" t="str">
        <f t="array" ref="A1068">INDEX(Reference!$A$2:$A$18, INT((ROW()-2)/(18*3*2)) + 1)</f>
        <v>Eastern Visayas</v>
      </c>
      <c r="B1068" s="2" t="str">
        <f t="array" ref="B1068">INDEX(Reference!$C$2:$C$19, MOD(ROW()-2, 18) + 1)</f>
        <v>....Electricity, steam, water and waste management</v>
      </c>
      <c r="C1068" s="1" t="str">
        <f t="shared" si="1"/>
        <v>Sub</v>
      </c>
      <c r="D1068" s="1">
        <f t="shared" si="2"/>
        <v>2024</v>
      </c>
      <c r="E1068" s="1" t="str">
        <f t="shared" si="3"/>
        <v>At Constant 2018 Prices</v>
      </c>
      <c r="F1068" s="3">
        <v>5.1449117E7</v>
      </c>
    </row>
    <row r="1069" ht="15.75" customHeight="1">
      <c r="A1069" s="1" t="str">
        <f t="array" ref="A1069">INDEX(Reference!$A$2:$A$18, INT((ROW()-2)/(18*3*2)) + 1)</f>
        <v>Eastern Visayas</v>
      </c>
      <c r="B1069" s="2" t="str">
        <f t="array" ref="B1069">INDEX(Reference!$C$2:$C$19, MOD(ROW()-2, 18) + 1)</f>
        <v>....Construction</v>
      </c>
      <c r="C1069" s="1" t="str">
        <f t="shared" si="1"/>
        <v>Sub</v>
      </c>
      <c r="D1069" s="1">
        <f t="shared" si="2"/>
        <v>2024</v>
      </c>
      <c r="E1069" s="1" t="str">
        <f t="shared" si="3"/>
        <v>At Constant 2018 Prices</v>
      </c>
      <c r="F1069" s="3">
        <v>8.4593947E7</v>
      </c>
    </row>
    <row r="1070" ht="15.75" customHeight="1">
      <c r="A1070" s="1" t="str">
        <f t="array" ref="A1070">INDEX(Reference!$A$2:$A$18, INT((ROW()-2)/(18*3*2)) + 1)</f>
        <v>Eastern Visayas</v>
      </c>
      <c r="B1070" s="2" t="str">
        <f t="array" ref="B1070">INDEX(Reference!$C$2:$C$19, MOD(ROW()-2, 18) + 1)</f>
        <v>..Services</v>
      </c>
      <c r="C1070" s="1" t="str">
        <f t="shared" si="1"/>
        <v>Main</v>
      </c>
      <c r="D1070" s="1">
        <f t="shared" si="2"/>
        <v>2024</v>
      </c>
      <c r="E1070" s="1" t="str">
        <f t="shared" si="3"/>
        <v>At Constant 2018 Prices</v>
      </c>
      <c r="F1070" s="3">
        <v>2.67089366E8</v>
      </c>
    </row>
    <row r="1071" ht="15.75" customHeight="1">
      <c r="A1071" s="1" t="str">
        <f t="array" ref="A1071">INDEX(Reference!$A$2:$A$18, INT((ROW()-2)/(18*3*2)) + 1)</f>
        <v>Eastern Visayas</v>
      </c>
      <c r="B1071" s="2" t="str">
        <f t="array" ref="B1071">INDEX(Reference!$C$2:$C$19, MOD(ROW()-2, 18) + 1)</f>
        <v>....Wholesale and retail trade; repair of motor vehicles and motorcycles</v>
      </c>
      <c r="C1071" s="1" t="str">
        <f t="shared" si="1"/>
        <v>Sub</v>
      </c>
      <c r="D1071" s="1">
        <f t="shared" si="2"/>
        <v>2024</v>
      </c>
      <c r="E1071" s="1" t="str">
        <f t="shared" si="3"/>
        <v>At Constant 2018 Prices</v>
      </c>
      <c r="F1071" s="3">
        <v>6.7060868E7</v>
      </c>
    </row>
    <row r="1072" ht="15.75" customHeight="1">
      <c r="A1072" s="1" t="str">
        <f t="array" ref="A1072">INDEX(Reference!$A$2:$A$18, INT((ROW()-2)/(18*3*2)) + 1)</f>
        <v>Eastern Visayas</v>
      </c>
      <c r="B1072" s="2" t="str">
        <f t="array" ref="B1072">INDEX(Reference!$C$2:$C$19, MOD(ROW()-2, 18) + 1)</f>
        <v>....Transportation and storage</v>
      </c>
      <c r="C1072" s="1" t="str">
        <f t="shared" si="1"/>
        <v>Sub</v>
      </c>
      <c r="D1072" s="1">
        <f t="shared" si="2"/>
        <v>2024</v>
      </c>
      <c r="E1072" s="1" t="str">
        <f t="shared" si="3"/>
        <v>At Constant 2018 Prices</v>
      </c>
      <c r="F1072" s="3">
        <v>2.5589211E7</v>
      </c>
    </row>
    <row r="1073" ht="15.75" customHeight="1">
      <c r="A1073" s="1" t="str">
        <f t="array" ref="A1073">INDEX(Reference!$A$2:$A$18, INT((ROW()-2)/(18*3*2)) + 1)</f>
        <v>Eastern Visayas</v>
      </c>
      <c r="B1073" s="2" t="str">
        <f t="array" ref="B1073">INDEX(Reference!$C$2:$C$19, MOD(ROW()-2, 18) + 1)</f>
        <v>....Accommodation and food service activities</v>
      </c>
      <c r="C1073" s="1" t="str">
        <f t="shared" si="1"/>
        <v>Sub</v>
      </c>
      <c r="D1073" s="1">
        <f t="shared" si="2"/>
        <v>2024</v>
      </c>
      <c r="E1073" s="1" t="str">
        <f t="shared" si="3"/>
        <v>At Constant 2018 Prices</v>
      </c>
      <c r="F1073" s="3">
        <v>3159343.0</v>
      </c>
    </row>
    <row r="1074" ht="15.75" customHeight="1">
      <c r="A1074" s="1" t="str">
        <f t="array" ref="A1074">INDEX(Reference!$A$2:$A$18, INT((ROW()-2)/(18*3*2)) + 1)</f>
        <v>Eastern Visayas</v>
      </c>
      <c r="B1074" s="2" t="str">
        <f t="array" ref="B1074">INDEX(Reference!$C$2:$C$19, MOD(ROW()-2, 18) + 1)</f>
        <v>....Information and communication</v>
      </c>
      <c r="C1074" s="1" t="str">
        <f t="shared" si="1"/>
        <v>Sub</v>
      </c>
      <c r="D1074" s="1">
        <f t="shared" si="2"/>
        <v>2024</v>
      </c>
      <c r="E1074" s="1" t="str">
        <f t="shared" si="3"/>
        <v>At Constant 2018 Prices</v>
      </c>
      <c r="F1074" s="3">
        <v>1.8452616E7</v>
      </c>
    </row>
    <row r="1075" ht="15.75" customHeight="1">
      <c r="A1075" s="1" t="str">
        <f t="array" ref="A1075">INDEX(Reference!$A$2:$A$18, INT((ROW()-2)/(18*3*2)) + 1)</f>
        <v>Eastern Visayas</v>
      </c>
      <c r="B1075" s="2" t="str">
        <f t="array" ref="B1075">INDEX(Reference!$C$2:$C$19, MOD(ROW()-2, 18) + 1)</f>
        <v>....Financial and insurance activities</v>
      </c>
      <c r="C1075" s="1" t="str">
        <f t="shared" si="1"/>
        <v>Sub</v>
      </c>
      <c r="D1075" s="1">
        <f t="shared" si="2"/>
        <v>2024</v>
      </c>
      <c r="E1075" s="1" t="str">
        <f t="shared" si="3"/>
        <v>At Constant 2018 Prices</v>
      </c>
      <c r="F1075" s="3">
        <v>4.1920223E7</v>
      </c>
    </row>
    <row r="1076" ht="15.75" customHeight="1">
      <c r="A1076" s="1" t="str">
        <f t="array" ref="A1076">INDEX(Reference!$A$2:$A$18, INT((ROW()-2)/(18*3*2)) + 1)</f>
        <v>Eastern Visayas</v>
      </c>
      <c r="B1076" s="2" t="str">
        <f t="array" ref="B1076">INDEX(Reference!$C$2:$C$19, MOD(ROW()-2, 18) + 1)</f>
        <v>....Real estate and ownership of dwellings</v>
      </c>
      <c r="C1076" s="1" t="str">
        <f t="shared" si="1"/>
        <v>Sub</v>
      </c>
      <c r="D1076" s="1">
        <f t="shared" si="2"/>
        <v>2024</v>
      </c>
      <c r="E1076" s="1" t="str">
        <f t="shared" si="3"/>
        <v>At Constant 2018 Prices</v>
      </c>
      <c r="F1076" s="3">
        <v>2.6011077E7</v>
      </c>
    </row>
    <row r="1077" ht="15.75" customHeight="1">
      <c r="A1077" s="1" t="str">
        <f t="array" ref="A1077">INDEX(Reference!$A$2:$A$18, INT((ROW()-2)/(18*3*2)) + 1)</f>
        <v>Eastern Visayas</v>
      </c>
      <c r="B1077" s="2" t="str">
        <f t="array" ref="B1077">INDEX(Reference!$C$2:$C$19, MOD(ROW()-2, 18) + 1)</f>
        <v>....Professional and business services</v>
      </c>
      <c r="C1077" s="1" t="str">
        <f t="shared" si="1"/>
        <v>Sub</v>
      </c>
      <c r="D1077" s="1">
        <f t="shared" si="2"/>
        <v>2024</v>
      </c>
      <c r="E1077" s="1" t="str">
        <f t="shared" si="3"/>
        <v>At Constant 2018 Prices</v>
      </c>
      <c r="F1077" s="3">
        <v>3931180.0</v>
      </c>
    </row>
    <row r="1078" ht="15.75" customHeight="1">
      <c r="A1078" s="1" t="str">
        <f t="array" ref="A1078">INDEX(Reference!$A$2:$A$18, INT((ROW()-2)/(18*3*2)) + 1)</f>
        <v>Eastern Visayas</v>
      </c>
      <c r="B1078" s="2" t="str">
        <f t="array" ref="B1078">INDEX(Reference!$C$2:$C$19, MOD(ROW()-2, 18) + 1)</f>
        <v>....Public administration and defense; compulsory social activities</v>
      </c>
      <c r="C1078" s="1" t="str">
        <f t="shared" si="1"/>
        <v>Sub</v>
      </c>
      <c r="D1078" s="1">
        <f t="shared" si="2"/>
        <v>2024</v>
      </c>
      <c r="E1078" s="1" t="str">
        <f t="shared" si="3"/>
        <v>At Constant 2018 Prices</v>
      </c>
      <c r="F1078" s="3">
        <v>1.8619291E7</v>
      </c>
    </row>
    <row r="1079" ht="15.75" customHeight="1">
      <c r="A1079" s="1" t="str">
        <f t="array" ref="A1079">INDEX(Reference!$A$2:$A$18, INT((ROW()-2)/(18*3*2)) + 1)</f>
        <v>Eastern Visayas</v>
      </c>
      <c r="B1079" s="2" t="str">
        <f t="array" ref="B1079">INDEX(Reference!$C$2:$C$19, MOD(ROW()-2, 18) + 1)</f>
        <v>....Education</v>
      </c>
      <c r="C1079" s="1" t="str">
        <f t="shared" si="1"/>
        <v>Sub</v>
      </c>
      <c r="D1079" s="1">
        <f t="shared" si="2"/>
        <v>2024</v>
      </c>
      <c r="E1079" s="1" t="str">
        <f t="shared" si="3"/>
        <v>At Constant 2018 Prices</v>
      </c>
      <c r="F1079" s="3">
        <v>4.2868406E7</v>
      </c>
    </row>
    <row r="1080" ht="15.75" customHeight="1">
      <c r="A1080" s="1" t="str">
        <f t="array" ref="A1080">INDEX(Reference!$A$2:$A$18, INT((ROW()-2)/(18*3*2)) + 1)</f>
        <v>Eastern Visayas</v>
      </c>
      <c r="B1080" s="2" t="str">
        <f t="array" ref="B1080">INDEX(Reference!$C$2:$C$19, MOD(ROW()-2, 18) + 1)</f>
        <v>....Human health and social work activities</v>
      </c>
      <c r="C1080" s="1" t="str">
        <f t="shared" si="1"/>
        <v>Sub</v>
      </c>
      <c r="D1080" s="1">
        <f t="shared" si="2"/>
        <v>2024</v>
      </c>
      <c r="E1080" s="1" t="str">
        <f t="shared" si="3"/>
        <v>At Constant 2018 Prices</v>
      </c>
      <c r="F1080" s="3">
        <v>1.0178991E7</v>
      </c>
    </row>
    <row r="1081" ht="15.75" customHeight="1">
      <c r="A1081" s="1" t="str">
        <f t="array" ref="A1081">INDEX(Reference!$A$2:$A$18, INT((ROW()-2)/(18*3*2)) + 1)</f>
        <v>Eastern Visayas</v>
      </c>
      <c r="B1081" s="2" t="str">
        <f t="array" ref="B1081">INDEX(Reference!$C$2:$C$19, MOD(ROW()-2, 18) + 1)</f>
        <v>....Other services</v>
      </c>
      <c r="C1081" s="1" t="str">
        <f t="shared" si="1"/>
        <v>Sub</v>
      </c>
      <c r="D1081" s="1">
        <f t="shared" si="2"/>
        <v>2024</v>
      </c>
      <c r="E1081" s="1" t="str">
        <f t="shared" si="3"/>
        <v>At Constant 2018 Prices</v>
      </c>
      <c r="F1081" s="3">
        <v>9298159.0</v>
      </c>
    </row>
    <row r="1082" ht="15.75" customHeight="1">
      <c r="A1082" s="1" t="str">
        <f t="array" ref="A1082">INDEX(Reference!$A$2:$A$18, INT((ROW()-2)/(18*3*2)) + 1)</f>
        <v>Ilocos Region</v>
      </c>
      <c r="B1082" s="2" t="str">
        <f t="array" ref="B1082">INDEX(Reference!$C$2:$C$19, MOD(ROW()-2, 18) + 1)</f>
        <v>..Agriculture, forestry, and fishing</v>
      </c>
      <c r="C1082" s="1" t="str">
        <f t="shared" si="1"/>
        <v>Main</v>
      </c>
      <c r="D1082" s="1">
        <f t="shared" si="2"/>
        <v>2022</v>
      </c>
      <c r="E1082" s="1" t="str">
        <f t="shared" si="3"/>
        <v>At Current Prices</v>
      </c>
      <c r="F1082" s="3">
        <v>1.24172679E8</v>
      </c>
    </row>
    <row r="1083" ht="15.75" customHeight="1">
      <c r="A1083" s="1" t="str">
        <f t="array" ref="A1083">INDEX(Reference!$A$2:$A$18, INT((ROW()-2)/(18*3*2)) + 1)</f>
        <v>Ilocos Region</v>
      </c>
      <c r="B1083" s="2" t="str">
        <f t="array" ref="B1083">INDEX(Reference!$C$2:$C$19, MOD(ROW()-2, 18) + 1)</f>
        <v>..Industry</v>
      </c>
      <c r="C1083" s="1" t="str">
        <f t="shared" si="1"/>
        <v>Main</v>
      </c>
      <c r="D1083" s="1">
        <f t="shared" si="2"/>
        <v>2022</v>
      </c>
      <c r="E1083" s="1" t="str">
        <f t="shared" si="3"/>
        <v>At Current Prices</v>
      </c>
      <c r="F1083" s="3">
        <v>2.29881819E8</v>
      </c>
    </row>
    <row r="1084" ht="15.75" customHeight="1">
      <c r="A1084" s="1" t="str">
        <f t="array" ref="A1084">INDEX(Reference!$A$2:$A$18, INT((ROW()-2)/(18*3*2)) + 1)</f>
        <v>Ilocos Region</v>
      </c>
      <c r="B1084" s="2" t="str">
        <f t="array" ref="B1084">INDEX(Reference!$C$2:$C$19, MOD(ROW()-2, 18) + 1)</f>
        <v>....Mining and quarrying</v>
      </c>
      <c r="C1084" s="1" t="str">
        <f t="shared" si="1"/>
        <v>Sub</v>
      </c>
      <c r="D1084" s="1">
        <f t="shared" si="2"/>
        <v>2022</v>
      </c>
      <c r="E1084" s="1" t="str">
        <f t="shared" si="3"/>
        <v>At Current Prices</v>
      </c>
      <c r="F1084" s="3">
        <v>1898726.0</v>
      </c>
    </row>
    <row r="1085" ht="15.75" customHeight="1">
      <c r="A1085" s="1" t="str">
        <f t="array" ref="A1085">INDEX(Reference!$A$2:$A$18, INT((ROW()-2)/(18*3*2)) + 1)</f>
        <v>Ilocos Region</v>
      </c>
      <c r="B1085" s="2" t="str">
        <f t="array" ref="B1085">INDEX(Reference!$C$2:$C$19, MOD(ROW()-2, 18) + 1)</f>
        <v>....Manufacturing</v>
      </c>
      <c r="C1085" s="1" t="str">
        <f t="shared" si="1"/>
        <v>Sub</v>
      </c>
      <c r="D1085" s="1">
        <f t="shared" si="2"/>
        <v>2022</v>
      </c>
      <c r="E1085" s="1" t="str">
        <f t="shared" si="3"/>
        <v>At Current Prices</v>
      </c>
      <c r="F1085" s="3">
        <v>6.8439622E7</v>
      </c>
    </row>
    <row r="1086" ht="15.75" customHeight="1">
      <c r="A1086" s="1" t="str">
        <f t="array" ref="A1086">INDEX(Reference!$A$2:$A$18, INT((ROW()-2)/(18*3*2)) + 1)</f>
        <v>Ilocos Region</v>
      </c>
      <c r="B1086" s="2" t="str">
        <f t="array" ref="B1086">INDEX(Reference!$C$2:$C$19, MOD(ROW()-2, 18) + 1)</f>
        <v>....Electricity, steam, water and waste management</v>
      </c>
      <c r="C1086" s="1" t="str">
        <f t="shared" si="1"/>
        <v>Sub</v>
      </c>
      <c r="D1086" s="1">
        <f t="shared" si="2"/>
        <v>2022</v>
      </c>
      <c r="E1086" s="1" t="str">
        <f t="shared" si="3"/>
        <v>At Current Prices</v>
      </c>
      <c r="F1086" s="3">
        <v>5.6489742E7</v>
      </c>
    </row>
    <row r="1087" ht="15.75" customHeight="1">
      <c r="A1087" s="1" t="str">
        <f t="array" ref="A1087">INDEX(Reference!$A$2:$A$18, INT((ROW()-2)/(18*3*2)) + 1)</f>
        <v>Ilocos Region</v>
      </c>
      <c r="B1087" s="2" t="str">
        <f t="array" ref="B1087">INDEX(Reference!$C$2:$C$19, MOD(ROW()-2, 18) + 1)</f>
        <v>....Construction</v>
      </c>
      <c r="C1087" s="1" t="str">
        <f t="shared" si="1"/>
        <v>Sub</v>
      </c>
      <c r="D1087" s="1">
        <f t="shared" si="2"/>
        <v>2022</v>
      </c>
      <c r="E1087" s="1" t="str">
        <f t="shared" si="3"/>
        <v>At Current Prices</v>
      </c>
      <c r="F1087" s="3">
        <v>1.03053729E8</v>
      </c>
    </row>
    <row r="1088" ht="15.75" customHeight="1">
      <c r="A1088" s="1" t="str">
        <f t="array" ref="A1088">INDEX(Reference!$A$2:$A$18, INT((ROW()-2)/(18*3*2)) + 1)</f>
        <v>Ilocos Region</v>
      </c>
      <c r="B1088" s="2" t="str">
        <f t="array" ref="B1088">INDEX(Reference!$C$2:$C$19, MOD(ROW()-2, 18) + 1)</f>
        <v>..Services</v>
      </c>
      <c r="C1088" s="1" t="str">
        <f t="shared" si="1"/>
        <v>Main</v>
      </c>
      <c r="D1088" s="1">
        <f t="shared" si="2"/>
        <v>2022</v>
      </c>
      <c r="E1088" s="1" t="str">
        <f t="shared" si="3"/>
        <v>At Current Prices</v>
      </c>
      <c r="F1088" s="3">
        <v>3.75415184E8</v>
      </c>
    </row>
    <row r="1089" ht="15.75" customHeight="1">
      <c r="A1089" s="1" t="str">
        <f t="array" ref="A1089">INDEX(Reference!$A$2:$A$18, INT((ROW()-2)/(18*3*2)) + 1)</f>
        <v>Ilocos Region</v>
      </c>
      <c r="B1089" s="2" t="str">
        <f t="array" ref="B1089">INDEX(Reference!$C$2:$C$19, MOD(ROW()-2, 18) + 1)</f>
        <v>....Wholesale and retail trade; repair of motor vehicles and motorcycles</v>
      </c>
      <c r="C1089" s="1" t="str">
        <f t="shared" si="1"/>
        <v>Sub</v>
      </c>
      <c r="D1089" s="1">
        <f t="shared" si="2"/>
        <v>2022</v>
      </c>
      <c r="E1089" s="1" t="str">
        <f t="shared" si="3"/>
        <v>At Current Prices</v>
      </c>
      <c r="F1089" s="3">
        <v>1.26553215E8</v>
      </c>
    </row>
    <row r="1090" ht="15.75" customHeight="1">
      <c r="A1090" s="1" t="str">
        <f t="array" ref="A1090">INDEX(Reference!$A$2:$A$18, INT((ROW()-2)/(18*3*2)) + 1)</f>
        <v>Ilocos Region</v>
      </c>
      <c r="B1090" s="2" t="str">
        <f t="array" ref="B1090">INDEX(Reference!$C$2:$C$19, MOD(ROW()-2, 18) + 1)</f>
        <v>....Transportation and storage</v>
      </c>
      <c r="C1090" s="1" t="str">
        <f t="shared" si="1"/>
        <v>Sub</v>
      </c>
      <c r="D1090" s="1">
        <f t="shared" si="2"/>
        <v>2022</v>
      </c>
      <c r="E1090" s="1" t="str">
        <f t="shared" si="3"/>
        <v>At Current Prices</v>
      </c>
      <c r="F1090" s="3">
        <v>1.9973045E7</v>
      </c>
    </row>
    <row r="1091" ht="15.75" customHeight="1">
      <c r="A1091" s="1" t="str">
        <f t="array" ref="A1091">INDEX(Reference!$A$2:$A$18, INT((ROW()-2)/(18*3*2)) + 1)</f>
        <v>Ilocos Region</v>
      </c>
      <c r="B1091" s="2" t="str">
        <f t="array" ref="B1091">INDEX(Reference!$C$2:$C$19, MOD(ROW()-2, 18) + 1)</f>
        <v>....Accommodation and food service activities</v>
      </c>
      <c r="C1091" s="1" t="str">
        <f t="shared" si="1"/>
        <v>Sub</v>
      </c>
      <c r="D1091" s="1">
        <f t="shared" si="2"/>
        <v>2022</v>
      </c>
      <c r="E1091" s="1" t="str">
        <f t="shared" si="3"/>
        <v>At Current Prices</v>
      </c>
      <c r="F1091" s="3">
        <v>2.0195045E7</v>
      </c>
    </row>
    <row r="1092" ht="15.75" customHeight="1">
      <c r="A1092" s="1" t="str">
        <f t="array" ref="A1092">INDEX(Reference!$A$2:$A$18, INT((ROW()-2)/(18*3*2)) + 1)</f>
        <v>Ilocos Region</v>
      </c>
      <c r="B1092" s="2" t="str">
        <f t="array" ref="B1092">INDEX(Reference!$C$2:$C$19, MOD(ROW()-2, 18) + 1)</f>
        <v>....Information and communication</v>
      </c>
      <c r="C1092" s="1" t="str">
        <f t="shared" si="1"/>
        <v>Sub</v>
      </c>
      <c r="D1092" s="1">
        <f t="shared" si="2"/>
        <v>2022</v>
      </c>
      <c r="E1092" s="1" t="str">
        <f t="shared" si="3"/>
        <v>At Current Prices</v>
      </c>
      <c r="F1092" s="3">
        <v>2.6144206E7</v>
      </c>
    </row>
    <row r="1093" ht="15.75" customHeight="1">
      <c r="A1093" s="1" t="str">
        <f t="array" ref="A1093">INDEX(Reference!$A$2:$A$18, INT((ROW()-2)/(18*3*2)) + 1)</f>
        <v>Ilocos Region</v>
      </c>
      <c r="B1093" s="2" t="str">
        <f t="array" ref="B1093">INDEX(Reference!$C$2:$C$19, MOD(ROW()-2, 18) + 1)</f>
        <v>....Financial and insurance activities</v>
      </c>
      <c r="C1093" s="1" t="str">
        <f t="shared" si="1"/>
        <v>Sub</v>
      </c>
      <c r="D1093" s="1">
        <f t="shared" si="2"/>
        <v>2022</v>
      </c>
      <c r="E1093" s="1" t="str">
        <f t="shared" si="3"/>
        <v>At Current Prices</v>
      </c>
      <c r="F1093" s="3">
        <v>3.0074815E7</v>
      </c>
    </row>
    <row r="1094" ht="15.75" customHeight="1">
      <c r="A1094" s="1" t="str">
        <f t="array" ref="A1094">INDEX(Reference!$A$2:$A$18, INT((ROW()-2)/(18*3*2)) + 1)</f>
        <v>Ilocos Region</v>
      </c>
      <c r="B1094" s="2" t="str">
        <f t="array" ref="B1094">INDEX(Reference!$C$2:$C$19, MOD(ROW()-2, 18) + 1)</f>
        <v>....Real estate and ownership of dwellings</v>
      </c>
      <c r="C1094" s="1" t="str">
        <f t="shared" si="1"/>
        <v>Sub</v>
      </c>
      <c r="D1094" s="1">
        <f t="shared" si="2"/>
        <v>2022</v>
      </c>
      <c r="E1094" s="1" t="str">
        <f t="shared" si="3"/>
        <v>At Current Prices</v>
      </c>
      <c r="F1094" s="3">
        <v>4.2876854E7</v>
      </c>
    </row>
    <row r="1095" ht="15.75" customHeight="1">
      <c r="A1095" s="1" t="str">
        <f t="array" ref="A1095">INDEX(Reference!$A$2:$A$18, INT((ROW()-2)/(18*3*2)) + 1)</f>
        <v>Ilocos Region</v>
      </c>
      <c r="B1095" s="2" t="str">
        <f t="array" ref="B1095">INDEX(Reference!$C$2:$C$19, MOD(ROW()-2, 18) + 1)</f>
        <v>....Professional and business services</v>
      </c>
      <c r="C1095" s="1" t="str">
        <f t="shared" si="1"/>
        <v>Sub</v>
      </c>
      <c r="D1095" s="1">
        <f t="shared" si="2"/>
        <v>2022</v>
      </c>
      <c r="E1095" s="1" t="str">
        <f t="shared" si="3"/>
        <v>At Current Prices</v>
      </c>
      <c r="F1095" s="3">
        <v>1.1265397E7</v>
      </c>
    </row>
    <row r="1096" ht="15.75" customHeight="1">
      <c r="A1096" s="1" t="str">
        <f t="array" ref="A1096">INDEX(Reference!$A$2:$A$18, INT((ROW()-2)/(18*3*2)) + 1)</f>
        <v>Ilocos Region</v>
      </c>
      <c r="B1096" s="2" t="str">
        <f t="array" ref="B1096">INDEX(Reference!$C$2:$C$19, MOD(ROW()-2, 18) + 1)</f>
        <v>....Public administration and defense; compulsory social activities</v>
      </c>
      <c r="C1096" s="1" t="str">
        <f t="shared" si="1"/>
        <v>Sub</v>
      </c>
      <c r="D1096" s="1">
        <f t="shared" si="2"/>
        <v>2022</v>
      </c>
      <c r="E1096" s="1" t="str">
        <f t="shared" si="3"/>
        <v>At Current Prices</v>
      </c>
      <c r="F1096" s="3">
        <v>2.3986352E7</v>
      </c>
    </row>
    <row r="1097" ht="15.75" customHeight="1">
      <c r="A1097" s="1" t="str">
        <f t="array" ref="A1097">INDEX(Reference!$A$2:$A$18, INT((ROW()-2)/(18*3*2)) + 1)</f>
        <v>Ilocos Region</v>
      </c>
      <c r="B1097" s="2" t="str">
        <f t="array" ref="B1097">INDEX(Reference!$C$2:$C$19, MOD(ROW()-2, 18) + 1)</f>
        <v>....Education</v>
      </c>
      <c r="C1097" s="1" t="str">
        <f t="shared" si="1"/>
        <v>Sub</v>
      </c>
      <c r="D1097" s="1">
        <f t="shared" si="2"/>
        <v>2022</v>
      </c>
      <c r="E1097" s="1" t="str">
        <f t="shared" si="3"/>
        <v>At Current Prices</v>
      </c>
      <c r="F1097" s="3">
        <v>4.2406353E7</v>
      </c>
    </row>
    <row r="1098" ht="15.75" customHeight="1">
      <c r="A1098" s="1" t="str">
        <f t="array" ref="A1098">INDEX(Reference!$A$2:$A$18, INT((ROW()-2)/(18*3*2)) + 1)</f>
        <v>Ilocos Region</v>
      </c>
      <c r="B1098" s="2" t="str">
        <f t="array" ref="B1098">INDEX(Reference!$C$2:$C$19, MOD(ROW()-2, 18) + 1)</f>
        <v>....Human health and social work activities</v>
      </c>
      <c r="C1098" s="1" t="str">
        <f t="shared" si="1"/>
        <v>Sub</v>
      </c>
      <c r="D1098" s="1">
        <f t="shared" si="2"/>
        <v>2022</v>
      </c>
      <c r="E1098" s="1" t="str">
        <f t="shared" si="3"/>
        <v>At Current Prices</v>
      </c>
      <c r="F1098" s="3">
        <v>1.8135516E7</v>
      </c>
    </row>
    <row r="1099" ht="15.75" customHeight="1">
      <c r="A1099" s="1" t="str">
        <f t="array" ref="A1099">INDEX(Reference!$A$2:$A$18, INT((ROW()-2)/(18*3*2)) + 1)</f>
        <v>Ilocos Region</v>
      </c>
      <c r="B1099" s="2" t="str">
        <f t="array" ref="B1099">INDEX(Reference!$C$2:$C$19, MOD(ROW()-2, 18) + 1)</f>
        <v>....Other services</v>
      </c>
      <c r="C1099" s="1" t="str">
        <f t="shared" si="1"/>
        <v>Sub</v>
      </c>
      <c r="D1099" s="1">
        <f t="shared" si="2"/>
        <v>2022</v>
      </c>
      <c r="E1099" s="1" t="str">
        <f t="shared" si="3"/>
        <v>At Current Prices</v>
      </c>
      <c r="F1099" s="3">
        <v>1.3804385E7</v>
      </c>
    </row>
    <row r="1100" ht="15.75" customHeight="1">
      <c r="A1100" s="1" t="str">
        <f t="array" ref="A1100">INDEX(Reference!$A$2:$A$18, INT((ROW()-2)/(18*3*2)) + 1)</f>
        <v>Ilocos Region</v>
      </c>
      <c r="B1100" s="2" t="str">
        <f t="array" ref="B1100">INDEX(Reference!$C$2:$C$19, MOD(ROW()-2, 18) + 1)</f>
        <v>..Agriculture, forestry, and fishing</v>
      </c>
      <c r="C1100" s="1" t="str">
        <f t="shared" si="1"/>
        <v>Main</v>
      </c>
      <c r="D1100" s="1">
        <f t="shared" si="2"/>
        <v>2023</v>
      </c>
      <c r="E1100" s="1" t="str">
        <f t="shared" si="3"/>
        <v>At Current Prices</v>
      </c>
      <c r="F1100" s="3">
        <v>1.33144433E8</v>
      </c>
    </row>
    <row r="1101" ht="15.75" customHeight="1">
      <c r="A1101" s="1" t="str">
        <f t="array" ref="A1101">INDEX(Reference!$A$2:$A$18, INT((ROW()-2)/(18*3*2)) + 1)</f>
        <v>Ilocos Region</v>
      </c>
      <c r="B1101" s="2" t="str">
        <f t="array" ref="B1101">INDEX(Reference!$C$2:$C$19, MOD(ROW()-2, 18) + 1)</f>
        <v>..Industry</v>
      </c>
      <c r="C1101" s="1" t="str">
        <f t="shared" si="1"/>
        <v>Main</v>
      </c>
      <c r="D1101" s="1">
        <f t="shared" si="2"/>
        <v>2023</v>
      </c>
      <c r="E1101" s="1" t="str">
        <f t="shared" si="3"/>
        <v>At Current Prices</v>
      </c>
      <c r="F1101" s="3">
        <v>2.55819809E8</v>
      </c>
    </row>
    <row r="1102" ht="15.75" customHeight="1">
      <c r="A1102" s="1" t="str">
        <f t="array" ref="A1102">INDEX(Reference!$A$2:$A$18, INT((ROW()-2)/(18*3*2)) + 1)</f>
        <v>Ilocos Region</v>
      </c>
      <c r="B1102" s="2" t="str">
        <f t="array" ref="B1102">INDEX(Reference!$C$2:$C$19, MOD(ROW()-2, 18) + 1)</f>
        <v>....Mining and quarrying</v>
      </c>
      <c r="C1102" s="1" t="str">
        <f t="shared" si="1"/>
        <v>Sub</v>
      </c>
      <c r="D1102" s="1">
        <f t="shared" si="2"/>
        <v>2023</v>
      </c>
      <c r="E1102" s="1" t="str">
        <f t="shared" si="3"/>
        <v>At Current Prices</v>
      </c>
      <c r="F1102" s="3">
        <v>2003428.0</v>
      </c>
    </row>
    <row r="1103" ht="15.75" customHeight="1">
      <c r="A1103" s="1" t="str">
        <f t="array" ref="A1103">INDEX(Reference!$A$2:$A$18, INT((ROW()-2)/(18*3*2)) + 1)</f>
        <v>Ilocos Region</v>
      </c>
      <c r="B1103" s="2" t="str">
        <f t="array" ref="B1103">INDEX(Reference!$C$2:$C$19, MOD(ROW()-2, 18) + 1)</f>
        <v>....Manufacturing</v>
      </c>
      <c r="C1103" s="1" t="str">
        <f t="shared" si="1"/>
        <v>Sub</v>
      </c>
      <c r="D1103" s="1">
        <f t="shared" si="2"/>
        <v>2023</v>
      </c>
      <c r="E1103" s="1" t="str">
        <f t="shared" si="3"/>
        <v>At Current Prices</v>
      </c>
      <c r="F1103" s="3">
        <v>7.2785923E7</v>
      </c>
    </row>
    <row r="1104" ht="15.75" customHeight="1">
      <c r="A1104" s="1" t="str">
        <f t="array" ref="A1104">INDEX(Reference!$A$2:$A$18, INT((ROW()-2)/(18*3*2)) + 1)</f>
        <v>Ilocos Region</v>
      </c>
      <c r="B1104" s="2" t="str">
        <f t="array" ref="B1104">INDEX(Reference!$C$2:$C$19, MOD(ROW()-2, 18) + 1)</f>
        <v>....Electricity, steam, water and waste management</v>
      </c>
      <c r="C1104" s="1" t="str">
        <f t="shared" si="1"/>
        <v>Sub</v>
      </c>
      <c r="D1104" s="1">
        <f t="shared" si="2"/>
        <v>2023</v>
      </c>
      <c r="E1104" s="1" t="str">
        <f t="shared" si="3"/>
        <v>At Current Prices</v>
      </c>
      <c r="F1104" s="3">
        <v>6.3028204E7</v>
      </c>
    </row>
    <row r="1105" ht="15.75" customHeight="1">
      <c r="A1105" s="1" t="str">
        <f t="array" ref="A1105">INDEX(Reference!$A$2:$A$18, INT((ROW()-2)/(18*3*2)) + 1)</f>
        <v>Ilocos Region</v>
      </c>
      <c r="B1105" s="2" t="str">
        <f t="array" ref="B1105">INDEX(Reference!$C$2:$C$19, MOD(ROW()-2, 18) + 1)</f>
        <v>....Construction</v>
      </c>
      <c r="C1105" s="1" t="str">
        <f t="shared" si="1"/>
        <v>Sub</v>
      </c>
      <c r="D1105" s="1">
        <f t="shared" si="2"/>
        <v>2023</v>
      </c>
      <c r="E1105" s="1" t="str">
        <f t="shared" si="3"/>
        <v>At Current Prices</v>
      </c>
      <c r="F1105" s="3">
        <v>1.18002255E8</v>
      </c>
    </row>
    <row r="1106" ht="15.75" customHeight="1">
      <c r="A1106" s="1" t="str">
        <f t="array" ref="A1106">INDEX(Reference!$A$2:$A$18, INT((ROW()-2)/(18*3*2)) + 1)</f>
        <v>Ilocos Region</v>
      </c>
      <c r="B1106" s="2" t="str">
        <f t="array" ref="B1106">INDEX(Reference!$C$2:$C$19, MOD(ROW()-2, 18) + 1)</f>
        <v>..Services</v>
      </c>
      <c r="C1106" s="1" t="str">
        <f t="shared" si="1"/>
        <v>Main</v>
      </c>
      <c r="D1106" s="1">
        <f t="shared" si="2"/>
        <v>2023</v>
      </c>
      <c r="E1106" s="1" t="str">
        <f t="shared" si="3"/>
        <v>At Current Prices</v>
      </c>
      <c r="F1106" s="3">
        <v>4.23675079E8</v>
      </c>
    </row>
    <row r="1107" ht="15.75" customHeight="1">
      <c r="A1107" s="1" t="str">
        <f t="array" ref="A1107">INDEX(Reference!$A$2:$A$18, INT((ROW()-2)/(18*3*2)) + 1)</f>
        <v>Ilocos Region</v>
      </c>
      <c r="B1107" s="2" t="str">
        <f t="array" ref="B1107">INDEX(Reference!$C$2:$C$19, MOD(ROW()-2, 18) + 1)</f>
        <v>....Wholesale and retail trade; repair of motor vehicles and motorcycles</v>
      </c>
      <c r="C1107" s="1" t="str">
        <f t="shared" si="1"/>
        <v>Sub</v>
      </c>
      <c r="D1107" s="1">
        <f t="shared" si="2"/>
        <v>2023</v>
      </c>
      <c r="E1107" s="1" t="str">
        <f t="shared" si="3"/>
        <v>At Current Prices</v>
      </c>
      <c r="F1107" s="3">
        <v>1.42614453E8</v>
      </c>
    </row>
    <row r="1108" ht="15.75" customHeight="1">
      <c r="A1108" s="1" t="str">
        <f t="array" ref="A1108">INDEX(Reference!$A$2:$A$18, INT((ROW()-2)/(18*3*2)) + 1)</f>
        <v>Ilocos Region</v>
      </c>
      <c r="B1108" s="2" t="str">
        <f t="array" ref="B1108">INDEX(Reference!$C$2:$C$19, MOD(ROW()-2, 18) + 1)</f>
        <v>....Transportation and storage</v>
      </c>
      <c r="C1108" s="1" t="str">
        <f t="shared" si="1"/>
        <v>Sub</v>
      </c>
      <c r="D1108" s="1">
        <f t="shared" si="2"/>
        <v>2023</v>
      </c>
      <c r="E1108" s="1" t="str">
        <f t="shared" si="3"/>
        <v>At Current Prices</v>
      </c>
      <c r="F1108" s="3">
        <v>2.3955192E7</v>
      </c>
    </row>
    <row r="1109" ht="15.75" customHeight="1">
      <c r="A1109" s="1" t="str">
        <f t="array" ref="A1109">INDEX(Reference!$A$2:$A$18, INT((ROW()-2)/(18*3*2)) + 1)</f>
        <v>Ilocos Region</v>
      </c>
      <c r="B1109" s="2" t="str">
        <f t="array" ref="B1109">INDEX(Reference!$C$2:$C$19, MOD(ROW()-2, 18) + 1)</f>
        <v>....Accommodation and food service activities</v>
      </c>
      <c r="C1109" s="1" t="str">
        <f t="shared" si="1"/>
        <v>Sub</v>
      </c>
      <c r="D1109" s="1">
        <f t="shared" si="2"/>
        <v>2023</v>
      </c>
      <c r="E1109" s="1" t="str">
        <f t="shared" si="3"/>
        <v>At Current Prices</v>
      </c>
      <c r="F1109" s="3">
        <v>2.4991428E7</v>
      </c>
    </row>
    <row r="1110" ht="15.75" customHeight="1">
      <c r="A1110" s="1" t="str">
        <f t="array" ref="A1110">INDEX(Reference!$A$2:$A$18, INT((ROW()-2)/(18*3*2)) + 1)</f>
        <v>Ilocos Region</v>
      </c>
      <c r="B1110" s="2" t="str">
        <f t="array" ref="B1110">INDEX(Reference!$C$2:$C$19, MOD(ROW()-2, 18) + 1)</f>
        <v>....Information and communication</v>
      </c>
      <c r="C1110" s="1" t="str">
        <f t="shared" si="1"/>
        <v>Sub</v>
      </c>
      <c r="D1110" s="1">
        <f t="shared" si="2"/>
        <v>2023</v>
      </c>
      <c r="E1110" s="1" t="str">
        <f t="shared" si="3"/>
        <v>At Current Prices</v>
      </c>
      <c r="F1110" s="3">
        <v>2.8145868E7</v>
      </c>
    </row>
    <row r="1111" ht="15.75" customHeight="1">
      <c r="A1111" s="1" t="str">
        <f t="array" ref="A1111">INDEX(Reference!$A$2:$A$18, INT((ROW()-2)/(18*3*2)) + 1)</f>
        <v>Ilocos Region</v>
      </c>
      <c r="B1111" s="2" t="str">
        <f t="array" ref="B1111">INDEX(Reference!$C$2:$C$19, MOD(ROW()-2, 18) + 1)</f>
        <v>....Financial and insurance activities</v>
      </c>
      <c r="C1111" s="1" t="str">
        <f t="shared" si="1"/>
        <v>Sub</v>
      </c>
      <c r="D1111" s="1">
        <f t="shared" si="2"/>
        <v>2023</v>
      </c>
      <c r="E1111" s="1" t="str">
        <f t="shared" si="3"/>
        <v>At Current Prices</v>
      </c>
      <c r="F1111" s="3">
        <v>3.4678124E7</v>
      </c>
    </row>
    <row r="1112" ht="15.75" customHeight="1">
      <c r="A1112" s="1" t="str">
        <f t="array" ref="A1112">INDEX(Reference!$A$2:$A$18, INT((ROW()-2)/(18*3*2)) + 1)</f>
        <v>Ilocos Region</v>
      </c>
      <c r="B1112" s="2" t="str">
        <f t="array" ref="B1112">INDEX(Reference!$C$2:$C$19, MOD(ROW()-2, 18) + 1)</f>
        <v>....Real estate and ownership of dwellings</v>
      </c>
      <c r="C1112" s="1" t="str">
        <f t="shared" si="1"/>
        <v>Sub</v>
      </c>
      <c r="D1112" s="1">
        <f t="shared" si="2"/>
        <v>2023</v>
      </c>
      <c r="E1112" s="1" t="str">
        <f t="shared" si="3"/>
        <v>At Current Prices</v>
      </c>
      <c r="F1112" s="3">
        <v>4.6978096E7</v>
      </c>
    </row>
    <row r="1113" ht="15.75" customHeight="1">
      <c r="A1113" s="1" t="str">
        <f t="array" ref="A1113">INDEX(Reference!$A$2:$A$18, INT((ROW()-2)/(18*3*2)) + 1)</f>
        <v>Ilocos Region</v>
      </c>
      <c r="B1113" s="2" t="str">
        <f t="array" ref="B1113">INDEX(Reference!$C$2:$C$19, MOD(ROW()-2, 18) + 1)</f>
        <v>....Professional and business services</v>
      </c>
      <c r="C1113" s="1" t="str">
        <f t="shared" si="1"/>
        <v>Sub</v>
      </c>
      <c r="D1113" s="1">
        <f t="shared" si="2"/>
        <v>2023</v>
      </c>
      <c r="E1113" s="1" t="str">
        <f t="shared" si="3"/>
        <v>At Current Prices</v>
      </c>
      <c r="F1113" s="3">
        <v>1.2505002E7</v>
      </c>
    </row>
    <row r="1114" ht="15.75" customHeight="1">
      <c r="A1114" s="1" t="str">
        <f t="array" ref="A1114">INDEX(Reference!$A$2:$A$18, INT((ROW()-2)/(18*3*2)) + 1)</f>
        <v>Ilocos Region</v>
      </c>
      <c r="B1114" s="2" t="str">
        <f t="array" ref="B1114">INDEX(Reference!$C$2:$C$19, MOD(ROW()-2, 18) + 1)</f>
        <v>....Public administration and defense; compulsory social activities</v>
      </c>
      <c r="C1114" s="1" t="str">
        <f t="shared" si="1"/>
        <v>Sub</v>
      </c>
      <c r="D1114" s="1">
        <f t="shared" si="2"/>
        <v>2023</v>
      </c>
      <c r="E1114" s="1" t="str">
        <f t="shared" si="3"/>
        <v>At Current Prices</v>
      </c>
      <c r="F1114" s="3">
        <v>2.7269847E7</v>
      </c>
    </row>
    <row r="1115" ht="15.75" customHeight="1">
      <c r="A1115" s="1" t="str">
        <f t="array" ref="A1115">INDEX(Reference!$A$2:$A$18, INT((ROW()-2)/(18*3*2)) + 1)</f>
        <v>Ilocos Region</v>
      </c>
      <c r="B1115" s="2" t="str">
        <f t="array" ref="B1115">INDEX(Reference!$C$2:$C$19, MOD(ROW()-2, 18) + 1)</f>
        <v>....Education</v>
      </c>
      <c r="C1115" s="1" t="str">
        <f t="shared" si="1"/>
        <v>Sub</v>
      </c>
      <c r="D1115" s="1">
        <f t="shared" si="2"/>
        <v>2023</v>
      </c>
      <c r="E1115" s="1" t="str">
        <f t="shared" si="3"/>
        <v>At Current Prices</v>
      </c>
      <c r="F1115" s="3">
        <v>4.5918301E7</v>
      </c>
    </row>
    <row r="1116" ht="15.75" customHeight="1">
      <c r="A1116" s="1" t="str">
        <f t="array" ref="A1116">INDEX(Reference!$A$2:$A$18, INT((ROW()-2)/(18*3*2)) + 1)</f>
        <v>Ilocos Region</v>
      </c>
      <c r="B1116" s="2" t="str">
        <f t="array" ref="B1116">INDEX(Reference!$C$2:$C$19, MOD(ROW()-2, 18) + 1)</f>
        <v>....Human health and social work activities</v>
      </c>
      <c r="C1116" s="1" t="str">
        <f t="shared" si="1"/>
        <v>Sub</v>
      </c>
      <c r="D1116" s="1">
        <f t="shared" si="2"/>
        <v>2023</v>
      </c>
      <c r="E1116" s="1" t="str">
        <f t="shared" si="3"/>
        <v>At Current Prices</v>
      </c>
      <c r="F1116" s="3">
        <v>2.0011879E7</v>
      </c>
    </row>
    <row r="1117" ht="15.75" customHeight="1">
      <c r="A1117" s="1" t="str">
        <f t="array" ref="A1117">INDEX(Reference!$A$2:$A$18, INT((ROW()-2)/(18*3*2)) + 1)</f>
        <v>Ilocos Region</v>
      </c>
      <c r="B1117" s="2" t="str">
        <f t="array" ref="B1117">INDEX(Reference!$C$2:$C$19, MOD(ROW()-2, 18) + 1)</f>
        <v>....Other services</v>
      </c>
      <c r="C1117" s="1" t="str">
        <f t="shared" si="1"/>
        <v>Sub</v>
      </c>
      <c r="D1117" s="1">
        <f t="shared" si="2"/>
        <v>2023</v>
      </c>
      <c r="E1117" s="1" t="str">
        <f t="shared" si="3"/>
        <v>At Current Prices</v>
      </c>
      <c r="F1117" s="3">
        <v>1.6606891E7</v>
      </c>
    </row>
    <row r="1118" ht="15.75" customHeight="1">
      <c r="A1118" s="1" t="str">
        <f t="array" ref="A1118">INDEX(Reference!$A$2:$A$18, INT((ROW()-2)/(18*3*2)) + 1)</f>
        <v>Ilocos Region</v>
      </c>
      <c r="B1118" s="2" t="str">
        <f t="array" ref="B1118">INDEX(Reference!$C$2:$C$19, MOD(ROW()-2, 18) + 1)</f>
        <v>..Agriculture, forestry, and fishing</v>
      </c>
      <c r="C1118" s="1" t="str">
        <f t="shared" si="1"/>
        <v>Main</v>
      </c>
      <c r="D1118" s="1">
        <f t="shared" si="2"/>
        <v>2024</v>
      </c>
      <c r="E1118" s="1" t="str">
        <f t="shared" si="3"/>
        <v>At Current Prices</v>
      </c>
      <c r="F1118" s="3">
        <v>1.45655559E8</v>
      </c>
    </row>
    <row r="1119" ht="15.75" customHeight="1">
      <c r="A1119" s="1" t="str">
        <f t="array" ref="A1119">INDEX(Reference!$A$2:$A$18, INT((ROW()-2)/(18*3*2)) + 1)</f>
        <v>Ilocos Region</v>
      </c>
      <c r="B1119" s="2" t="str">
        <f t="array" ref="B1119">INDEX(Reference!$C$2:$C$19, MOD(ROW()-2, 18) + 1)</f>
        <v>..Industry</v>
      </c>
      <c r="C1119" s="1" t="str">
        <f t="shared" si="1"/>
        <v>Main</v>
      </c>
      <c r="D1119" s="1">
        <f t="shared" si="2"/>
        <v>2024</v>
      </c>
      <c r="E1119" s="1" t="str">
        <f t="shared" si="3"/>
        <v>At Current Prices</v>
      </c>
      <c r="F1119" s="3">
        <v>2.6536914E8</v>
      </c>
    </row>
    <row r="1120" ht="15.75" customHeight="1">
      <c r="A1120" s="1" t="str">
        <f t="array" ref="A1120">INDEX(Reference!$A$2:$A$18, INT((ROW()-2)/(18*3*2)) + 1)</f>
        <v>Ilocos Region</v>
      </c>
      <c r="B1120" s="2" t="str">
        <f t="array" ref="B1120">INDEX(Reference!$C$2:$C$19, MOD(ROW()-2, 18) + 1)</f>
        <v>....Mining and quarrying</v>
      </c>
      <c r="C1120" s="1" t="str">
        <f t="shared" si="1"/>
        <v>Sub</v>
      </c>
      <c r="D1120" s="1">
        <f t="shared" si="2"/>
        <v>2024</v>
      </c>
      <c r="E1120" s="1" t="str">
        <f t="shared" si="3"/>
        <v>At Current Prices</v>
      </c>
      <c r="F1120" s="3">
        <v>2073309.0</v>
      </c>
    </row>
    <row r="1121" ht="15.75" customHeight="1">
      <c r="A1121" s="1" t="str">
        <f t="array" ref="A1121">INDEX(Reference!$A$2:$A$18, INT((ROW()-2)/(18*3*2)) + 1)</f>
        <v>Ilocos Region</v>
      </c>
      <c r="B1121" s="2" t="str">
        <f t="array" ref="B1121">INDEX(Reference!$C$2:$C$19, MOD(ROW()-2, 18) + 1)</f>
        <v>....Manufacturing</v>
      </c>
      <c r="C1121" s="1" t="str">
        <f t="shared" si="1"/>
        <v>Sub</v>
      </c>
      <c r="D1121" s="1">
        <f t="shared" si="2"/>
        <v>2024</v>
      </c>
      <c r="E1121" s="1" t="str">
        <f t="shared" si="3"/>
        <v>At Current Prices</v>
      </c>
      <c r="F1121" s="3">
        <v>7.3645858E7</v>
      </c>
    </row>
    <row r="1122" ht="15.75" customHeight="1">
      <c r="A1122" s="1" t="str">
        <f t="array" ref="A1122">INDEX(Reference!$A$2:$A$18, INT((ROW()-2)/(18*3*2)) + 1)</f>
        <v>Ilocos Region</v>
      </c>
      <c r="B1122" s="2" t="str">
        <f t="array" ref="B1122">INDEX(Reference!$C$2:$C$19, MOD(ROW()-2, 18) + 1)</f>
        <v>....Electricity, steam, water and waste management</v>
      </c>
      <c r="C1122" s="1" t="str">
        <f t="shared" si="1"/>
        <v>Sub</v>
      </c>
      <c r="D1122" s="1">
        <f t="shared" si="2"/>
        <v>2024</v>
      </c>
      <c r="E1122" s="1" t="str">
        <f t="shared" si="3"/>
        <v>At Current Prices</v>
      </c>
      <c r="F1122" s="3">
        <v>6.30355E7</v>
      </c>
    </row>
    <row r="1123" ht="15.75" customHeight="1">
      <c r="A1123" s="1" t="str">
        <f t="array" ref="A1123">INDEX(Reference!$A$2:$A$18, INT((ROW()-2)/(18*3*2)) + 1)</f>
        <v>Ilocos Region</v>
      </c>
      <c r="B1123" s="2" t="str">
        <f t="array" ref="B1123">INDEX(Reference!$C$2:$C$19, MOD(ROW()-2, 18) + 1)</f>
        <v>....Construction</v>
      </c>
      <c r="C1123" s="1" t="str">
        <f t="shared" si="1"/>
        <v>Sub</v>
      </c>
      <c r="D1123" s="1">
        <f t="shared" si="2"/>
        <v>2024</v>
      </c>
      <c r="E1123" s="1" t="str">
        <f t="shared" si="3"/>
        <v>At Current Prices</v>
      </c>
      <c r="F1123" s="3">
        <v>1.26614472E8</v>
      </c>
    </row>
    <row r="1124" ht="15.75" customHeight="1">
      <c r="A1124" s="1" t="str">
        <f t="array" ref="A1124">INDEX(Reference!$A$2:$A$18, INT((ROW()-2)/(18*3*2)) + 1)</f>
        <v>Ilocos Region</v>
      </c>
      <c r="B1124" s="2" t="str">
        <f t="array" ref="B1124">INDEX(Reference!$C$2:$C$19, MOD(ROW()-2, 18) + 1)</f>
        <v>..Services</v>
      </c>
      <c r="C1124" s="1" t="str">
        <f t="shared" si="1"/>
        <v>Main</v>
      </c>
      <c r="D1124" s="1">
        <f t="shared" si="2"/>
        <v>2024</v>
      </c>
      <c r="E1124" s="1" t="str">
        <f t="shared" si="3"/>
        <v>At Current Prices</v>
      </c>
      <c r="F1124" s="3">
        <v>4.66294039E8</v>
      </c>
    </row>
    <row r="1125" ht="15.75" customHeight="1">
      <c r="A1125" s="1" t="str">
        <f t="array" ref="A1125">INDEX(Reference!$A$2:$A$18, INT((ROW()-2)/(18*3*2)) + 1)</f>
        <v>Ilocos Region</v>
      </c>
      <c r="B1125" s="2" t="str">
        <f t="array" ref="B1125">INDEX(Reference!$C$2:$C$19, MOD(ROW()-2, 18) + 1)</f>
        <v>....Wholesale and retail trade; repair of motor vehicles and motorcycles</v>
      </c>
      <c r="C1125" s="1" t="str">
        <f t="shared" si="1"/>
        <v>Sub</v>
      </c>
      <c r="D1125" s="1">
        <f t="shared" si="2"/>
        <v>2024</v>
      </c>
      <c r="E1125" s="1" t="str">
        <f t="shared" si="3"/>
        <v>At Current Prices</v>
      </c>
      <c r="F1125" s="3">
        <v>1.56319903E8</v>
      </c>
    </row>
    <row r="1126" ht="15.75" customHeight="1">
      <c r="A1126" s="1" t="str">
        <f t="array" ref="A1126">INDEX(Reference!$A$2:$A$18, INT((ROW()-2)/(18*3*2)) + 1)</f>
        <v>Ilocos Region</v>
      </c>
      <c r="B1126" s="2" t="str">
        <f t="array" ref="B1126">INDEX(Reference!$C$2:$C$19, MOD(ROW()-2, 18) + 1)</f>
        <v>....Transportation and storage</v>
      </c>
      <c r="C1126" s="1" t="str">
        <f t="shared" si="1"/>
        <v>Sub</v>
      </c>
      <c r="D1126" s="1">
        <f t="shared" si="2"/>
        <v>2024</v>
      </c>
      <c r="E1126" s="1" t="str">
        <f t="shared" si="3"/>
        <v>At Current Prices</v>
      </c>
      <c r="F1126" s="3">
        <v>2.6120461E7</v>
      </c>
    </row>
    <row r="1127" ht="15.75" customHeight="1">
      <c r="A1127" s="1" t="str">
        <f t="array" ref="A1127">INDEX(Reference!$A$2:$A$18, INT((ROW()-2)/(18*3*2)) + 1)</f>
        <v>Ilocos Region</v>
      </c>
      <c r="B1127" s="2" t="str">
        <f t="array" ref="B1127">INDEX(Reference!$C$2:$C$19, MOD(ROW()-2, 18) + 1)</f>
        <v>....Accommodation and food service activities</v>
      </c>
      <c r="C1127" s="1" t="str">
        <f t="shared" si="1"/>
        <v>Sub</v>
      </c>
      <c r="D1127" s="1">
        <f t="shared" si="2"/>
        <v>2024</v>
      </c>
      <c r="E1127" s="1" t="str">
        <f t="shared" si="3"/>
        <v>At Current Prices</v>
      </c>
      <c r="F1127" s="3">
        <v>2.8050832E7</v>
      </c>
    </row>
    <row r="1128" ht="15.75" customHeight="1">
      <c r="A1128" s="1" t="str">
        <f t="array" ref="A1128">INDEX(Reference!$A$2:$A$18, INT((ROW()-2)/(18*3*2)) + 1)</f>
        <v>Ilocos Region</v>
      </c>
      <c r="B1128" s="2" t="str">
        <f t="array" ref="B1128">INDEX(Reference!$C$2:$C$19, MOD(ROW()-2, 18) + 1)</f>
        <v>....Information and communication</v>
      </c>
      <c r="C1128" s="1" t="str">
        <f t="shared" si="1"/>
        <v>Sub</v>
      </c>
      <c r="D1128" s="1">
        <f t="shared" si="2"/>
        <v>2024</v>
      </c>
      <c r="E1128" s="1" t="str">
        <f t="shared" si="3"/>
        <v>At Current Prices</v>
      </c>
      <c r="F1128" s="3">
        <v>2.9622621E7</v>
      </c>
    </row>
    <row r="1129" ht="15.75" customHeight="1">
      <c r="A1129" s="1" t="str">
        <f t="array" ref="A1129">INDEX(Reference!$A$2:$A$18, INT((ROW()-2)/(18*3*2)) + 1)</f>
        <v>Ilocos Region</v>
      </c>
      <c r="B1129" s="2" t="str">
        <f t="array" ref="B1129">INDEX(Reference!$C$2:$C$19, MOD(ROW()-2, 18) + 1)</f>
        <v>....Financial and insurance activities</v>
      </c>
      <c r="C1129" s="1" t="str">
        <f t="shared" si="1"/>
        <v>Sub</v>
      </c>
      <c r="D1129" s="1">
        <f t="shared" si="2"/>
        <v>2024</v>
      </c>
      <c r="E1129" s="1" t="str">
        <f t="shared" si="3"/>
        <v>At Current Prices</v>
      </c>
      <c r="F1129" s="3">
        <v>4.0271753E7</v>
      </c>
    </row>
    <row r="1130" ht="15.75" customHeight="1">
      <c r="A1130" s="1" t="str">
        <f t="array" ref="A1130">INDEX(Reference!$A$2:$A$18, INT((ROW()-2)/(18*3*2)) + 1)</f>
        <v>Ilocos Region</v>
      </c>
      <c r="B1130" s="2" t="str">
        <f t="array" ref="B1130">INDEX(Reference!$C$2:$C$19, MOD(ROW()-2, 18) + 1)</f>
        <v>....Real estate and ownership of dwellings</v>
      </c>
      <c r="C1130" s="1" t="str">
        <f t="shared" si="1"/>
        <v>Sub</v>
      </c>
      <c r="D1130" s="1">
        <f t="shared" si="2"/>
        <v>2024</v>
      </c>
      <c r="E1130" s="1" t="str">
        <f t="shared" si="3"/>
        <v>At Current Prices</v>
      </c>
      <c r="F1130" s="3">
        <v>5.1543336E7</v>
      </c>
    </row>
    <row r="1131" ht="15.75" customHeight="1">
      <c r="A1131" s="1" t="str">
        <f t="array" ref="A1131">INDEX(Reference!$A$2:$A$18, INT((ROW()-2)/(18*3*2)) + 1)</f>
        <v>Ilocos Region</v>
      </c>
      <c r="B1131" s="2" t="str">
        <f t="array" ref="B1131">INDEX(Reference!$C$2:$C$19, MOD(ROW()-2, 18) + 1)</f>
        <v>....Professional and business services</v>
      </c>
      <c r="C1131" s="1" t="str">
        <f t="shared" si="1"/>
        <v>Sub</v>
      </c>
      <c r="D1131" s="1">
        <f t="shared" si="2"/>
        <v>2024</v>
      </c>
      <c r="E1131" s="1" t="str">
        <f t="shared" si="3"/>
        <v>At Current Prices</v>
      </c>
      <c r="F1131" s="3">
        <v>1.4350644E7</v>
      </c>
    </row>
    <row r="1132" ht="15.75" customHeight="1">
      <c r="A1132" s="1" t="str">
        <f t="array" ref="A1132">INDEX(Reference!$A$2:$A$18, INT((ROW()-2)/(18*3*2)) + 1)</f>
        <v>Ilocos Region</v>
      </c>
      <c r="B1132" s="2" t="str">
        <f t="array" ref="B1132">INDEX(Reference!$C$2:$C$19, MOD(ROW()-2, 18) + 1)</f>
        <v>....Public administration and defense; compulsory social activities</v>
      </c>
      <c r="C1132" s="1" t="str">
        <f t="shared" si="1"/>
        <v>Sub</v>
      </c>
      <c r="D1132" s="1">
        <f t="shared" si="2"/>
        <v>2024</v>
      </c>
      <c r="E1132" s="1" t="str">
        <f t="shared" si="3"/>
        <v>At Current Prices</v>
      </c>
      <c r="F1132" s="3">
        <v>2.9618408E7</v>
      </c>
    </row>
    <row r="1133" ht="15.75" customHeight="1">
      <c r="A1133" s="1" t="str">
        <f t="array" ref="A1133">INDEX(Reference!$A$2:$A$18, INT((ROW()-2)/(18*3*2)) + 1)</f>
        <v>Ilocos Region</v>
      </c>
      <c r="B1133" s="2" t="str">
        <f t="array" ref="B1133">INDEX(Reference!$C$2:$C$19, MOD(ROW()-2, 18) + 1)</f>
        <v>....Education</v>
      </c>
      <c r="C1133" s="1" t="str">
        <f t="shared" si="1"/>
        <v>Sub</v>
      </c>
      <c r="D1133" s="1">
        <f t="shared" si="2"/>
        <v>2024</v>
      </c>
      <c r="E1133" s="1" t="str">
        <f t="shared" si="3"/>
        <v>At Current Prices</v>
      </c>
      <c r="F1133" s="3">
        <v>4.9297141E7</v>
      </c>
    </row>
    <row r="1134" ht="15.75" customHeight="1">
      <c r="A1134" s="1" t="str">
        <f t="array" ref="A1134">INDEX(Reference!$A$2:$A$18, INT((ROW()-2)/(18*3*2)) + 1)</f>
        <v>Ilocos Region</v>
      </c>
      <c r="B1134" s="2" t="str">
        <f t="array" ref="B1134">INDEX(Reference!$C$2:$C$19, MOD(ROW()-2, 18) + 1)</f>
        <v>....Human health and social work activities</v>
      </c>
      <c r="C1134" s="1" t="str">
        <f t="shared" si="1"/>
        <v>Sub</v>
      </c>
      <c r="D1134" s="1">
        <f t="shared" si="2"/>
        <v>2024</v>
      </c>
      <c r="E1134" s="1" t="str">
        <f t="shared" si="3"/>
        <v>At Current Prices</v>
      </c>
      <c r="F1134" s="3">
        <v>2.2868047E7</v>
      </c>
    </row>
    <row r="1135" ht="15.75" customHeight="1">
      <c r="A1135" s="1" t="str">
        <f t="array" ref="A1135">INDEX(Reference!$A$2:$A$18, INT((ROW()-2)/(18*3*2)) + 1)</f>
        <v>Ilocos Region</v>
      </c>
      <c r="B1135" s="2" t="str">
        <f t="array" ref="B1135">INDEX(Reference!$C$2:$C$19, MOD(ROW()-2, 18) + 1)</f>
        <v>....Other services</v>
      </c>
      <c r="C1135" s="1" t="str">
        <f t="shared" si="1"/>
        <v>Sub</v>
      </c>
      <c r="D1135" s="1">
        <f t="shared" si="2"/>
        <v>2024</v>
      </c>
      <c r="E1135" s="1" t="str">
        <f t="shared" si="3"/>
        <v>At Current Prices</v>
      </c>
      <c r="F1135" s="3">
        <v>1.8230894E7</v>
      </c>
    </row>
    <row r="1136" ht="15.75" customHeight="1">
      <c r="A1136" s="1" t="str">
        <f t="array" ref="A1136">INDEX(Reference!$A$2:$A$18, INT((ROW()-2)/(18*3*2)) + 1)</f>
        <v>Ilocos Region</v>
      </c>
      <c r="B1136" s="2" t="str">
        <f t="array" ref="B1136">INDEX(Reference!$C$2:$C$19, MOD(ROW()-2, 18) + 1)</f>
        <v>..Agriculture, forestry, and fishing</v>
      </c>
      <c r="C1136" s="1" t="str">
        <f t="shared" si="1"/>
        <v>Main</v>
      </c>
      <c r="D1136" s="1">
        <f t="shared" si="2"/>
        <v>2022</v>
      </c>
      <c r="E1136" s="1" t="str">
        <f t="shared" si="3"/>
        <v>At Constant 2018 Prices</v>
      </c>
      <c r="F1136" s="3">
        <v>1.09155151E8</v>
      </c>
    </row>
    <row r="1137" ht="15.75" customHeight="1">
      <c r="A1137" s="1" t="str">
        <f t="array" ref="A1137">INDEX(Reference!$A$2:$A$18, INT((ROW()-2)/(18*3*2)) + 1)</f>
        <v>Ilocos Region</v>
      </c>
      <c r="B1137" s="2" t="str">
        <f t="array" ref="B1137">INDEX(Reference!$C$2:$C$19, MOD(ROW()-2, 18) + 1)</f>
        <v>..Industry</v>
      </c>
      <c r="C1137" s="1" t="str">
        <f t="shared" si="1"/>
        <v>Main</v>
      </c>
      <c r="D1137" s="1">
        <f t="shared" si="2"/>
        <v>2022</v>
      </c>
      <c r="E1137" s="1" t="str">
        <f t="shared" si="3"/>
        <v>At Constant 2018 Prices</v>
      </c>
      <c r="F1137" s="3">
        <v>2.00125651E8</v>
      </c>
    </row>
    <row r="1138" ht="15.75" customHeight="1">
      <c r="A1138" s="1" t="str">
        <f t="array" ref="A1138">INDEX(Reference!$A$2:$A$18, INT((ROW()-2)/(18*3*2)) + 1)</f>
        <v>Ilocos Region</v>
      </c>
      <c r="B1138" s="2" t="str">
        <f t="array" ref="B1138">INDEX(Reference!$C$2:$C$19, MOD(ROW()-2, 18) + 1)</f>
        <v>....Mining and quarrying</v>
      </c>
      <c r="C1138" s="1" t="str">
        <f t="shared" si="1"/>
        <v>Sub</v>
      </c>
      <c r="D1138" s="1">
        <f t="shared" si="2"/>
        <v>2022</v>
      </c>
      <c r="E1138" s="1" t="str">
        <f t="shared" si="3"/>
        <v>At Constant 2018 Prices</v>
      </c>
      <c r="F1138" s="3">
        <v>1656938.0</v>
      </c>
    </row>
    <row r="1139" ht="15.75" customHeight="1">
      <c r="A1139" s="1" t="str">
        <f t="array" ref="A1139">INDEX(Reference!$A$2:$A$18, INT((ROW()-2)/(18*3*2)) + 1)</f>
        <v>Ilocos Region</v>
      </c>
      <c r="B1139" s="2" t="str">
        <f t="array" ref="B1139">INDEX(Reference!$C$2:$C$19, MOD(ROW()-2, 18) + 1)</f>
        <v>....Manufacturing</v>
      </c>
      <c r="C1139" s="1" t="str">
        <f t="shared" si="1"/>
        <v>Sub</v>
      </c>
      <c r="D1139" s="1">
        <f t="shared" si="2"/>
        <v>2022</v>
      </c>
      <c r="E1139" s="1" t="str">
        <f t="shared" si="3"/>
        <v>At Constant 2018 Prices</v>
      </c>
      <c r="F1139" s="3">
        <v>5.5714671E7</v>
      </c>
    </row>
    <row r="1140" ht="15.75" customHeight="1">
      <c r="A1140" s="1" t="str">
        <f t="array" ref="A1140">INDEX(Reference!$A$2:$A$18, INT((ROW()-2)/(18*3*2)) + 1)</f>
        <v>Ilocos Region</v>
      </c>
      <c r="B1140" s="2" t="str">
        <f t="array" ref="B1140">INDEX(Reference!$C$2:$C$19, MOD(ROW()-2, 18) + 1)</f>
        <v>....Electricity, steam, water and waste management</v>
      </c>
      <c r="C1140" s="1" t="str">
        <f t="shared" si="1"/>
        <v>Sub</v>
      </c>
      <c r="D1140" s="1">
        <f t="shared" si="2"/>
        <v>2022</v>
      </c>
      <c r="E1140" s="1" t="str">
        <f t="shared" si="3"/>
        <v>At Constant 2018 Prices</v>
      </c>
      <c r="F1140" s="3">
        <v>4.6684325E7</v>
      </c>
    </row>
    <row r="1141" ht="15.75" customHeight="1">
      <c r="A1141" s="1" t="str">
        <f t="array" ref="A1141">INDEX(Reference!$A$2:$A$18, INT((ROW()-2)/(18*3*2)) + 1)</f>
        <v>Ilocos Region</v>
      </c>
      <c r="B1141" s="2" t="str">
        <f t="array" ref="B1141">INDEX(Reference!$C$2:$C$19, MOD(ROW()-2, 18) + 1)</f>
        <v>....Construction</v>
      </c>
      <c r="C1141" s="1" t="str">
        <f t="shared" si="1"/>
        <v>Sub</v>
      </c>
      <c r="D1141" s="1">
        <f t="shared" si="2"/>
        <v>2022</v>
      </c>
      <c r="E1141" s="1" t="str">
        <f t="shared" si="3"/>
        <v>At Constant 2018 Prices</v>
      </c>
      <c r="F1141" s="3">
        <v>9.6069717E7</v>
      </c>
    </row>
    <row r="1142" ht="15.75" customHeight="1">
      <c r="A1142" s="1" t="str">
        <f t="array" ref="A1142">INDEX(Reference!$A$2:$A$18, INT((ROW()-2)/(18*3*2)) + 1)</f>
        <v>Ilocos Region</v>
      </c>
      <c r="B1142" s="2" t="str">
        <f t="array" ref="B1142">INDEX(Reference!$C$2:$C$19, MOD(ROW()-2, 18) + 1)</f>
        <v>..Services</v>
      </c>
      <c r="C1142" s="1" t="str">
        <f t="shared" si="1"/>
        <v>Main</v>
      </c>
      <c r="D1142" s="1">
        <f t="shared" si="2"/>
        <v>2022</v>
      </c>
      <c r="E1142" s="1" t="str">
        <f t="shared" si="3"/>
        <v>At Constant 2018 Prices</v>
      </c>
      <c r="F1142" s="3">
        <v>3.4555452E8</v>
      </c>
    </row>
    <row r="1143" ht="15.75" customHeight="1">
      <c r="A1143" s="1" t="str">
        <f t="array" ref="A1143">INDEX(Reference!$A$2:$A$18, INT((ROW()-2)/(18*3*2)) + 1)</f>
        <v>Ilocos Region</v>
      </c>
      <c r="B1143" s="2" t="str">
        <f t="array" ref="B1143">INDEX(Reference!$C$2:$C$19, MOD(ROW()-2, 18) + 1)</f>
        <v>....Wholesale and retail trade; repair of motor vehicles and motorcycles</v>
      </c>
      <c r="C1143" s="1" t="str">
        <f t="shared" si="1"/>
        <v>Sub</v>
      </c>
      <c r="D1143" s="1">
        <f t="shared" si="2"/>
        <v>2022</v>
      </c>
      <c r="E1143" s="1" t="str">
        <f t="shared" si="3"/>
        <v>At Constant 2018 Prices</v>
      </c>
      <c r="F1143" s="3">
        <v>1.17414476E8</v>
      </c>
    </row>
    <row r="1144" ht="15.75" customHeight="1">
      <c r="A1144" s="1" t="str">
        <f t="array" ref="A1144">INDEX(Reference!$A$2:$A$18, INT((ROW()-2)/(18*3*2)) + 1)</f>
        <v>Ilocos Region</v>
      </c>
      <c r="B1144" s="2" t="str">
        <f t="array" ref="B1144">INDEX(Reference!$C$2:$C$19, MOD(ROW()-2, 18) + 1)</f>
        <v>....Transportation and storage</v>
      </c>
      <c r="C1144" s="1" t="str">
        <f t="shared" si="1"/>
        <v>Sub</v>
      </c>
      <c r="D1144" s="1">
        <f t="shared" si="2"/>
        <v>2022</v>
      </c>
      <c r="E1144" s="1" t="str">
        <f t="shared" si="3"/>
        <v>At Constant 2018 Prices</v>
      </c>
      <c r="F1144" s="3">
        <v>1.8842451E7</v>
      </c>
    </row>
    <row r="1145" ht="15.75" customHeight="1">
      <c r="A1145" s="1" t="str">
        <f t="array" ref="A1145">INDEX(Reference!$A$2:$A$18, INT((ROW()-2)/(18*3*2)) + 1)</f>
        <v>Ilocos Region</v>
      </c>
      <c r="B1145" s="2" t="str">
        <f t="array" ref="B1145">INDEX(Reference!$C$2:$C$19, MOD(ROW()-2, 18) + 1)</f>
        <v>....Accommodation and food service activities</v>
      </c>
      <c r="C1145" s="1" t="str">
        <f t="shared" si="1"/>
        <v>Sub</v>
      </c>
      <c r="D1145" s="1">
        <f t="shared" si="2"/>
        <v>2022</v>
      </c>
      <c r="E1145" s="1" t="str">
        <f t="shared" si="3"/>
        <v>At Constant 2018 Prices</v>
      </c>
      <c r="F1145" s="3">
        <v>1.7313561E7</v>
      </c>
    </row>
    <row r="1146" ht="15.75" customHeight="1">
      <c r="A1146" s="1" t="str">
        <f t="array" ref="A1146">INDEX(Reference!$A$2:$A$18, INT((ROW()-2)/(18*3*2)) + 1)</f>
        <v>Ilocos Region</v>
      </c>
      <c r="B1146" s="2" t="str">
        <f t="array" ref="B1146">INDEX(Reference!$C$2:$C$19, MOD(ROW()-2, 18) + 1)</f>
        <v>....Information and communication</v>
      </c>
      <c r="C1146" s="1" t="str">
        <f t="shared" si="1"/>
        <v>Sub</v>
      </c>
      <c r="D1146" s="1">
        <f t="shared" si="2"/>
        <v>2022</v>
      </c>
      <c r="E1146" s="1" t="str">
        <f t="shared" si="3"/>
        <v>At Constant 2018 Prices</v>
      </c>
      <c r="F1146" s="3">
        <v>2.723907E7</v>
      </c>
    </row>
    <row r="1147" ht="15.75" customHeight="1">
      <c r="A1147" s="1" t="str">
        <f t="array" ref="A1147">INDEX(Reference!$A$2:$A$18, INT((ROW()-2)/(18*3*2)) + 1)</f>
        <v>Ilocos Region</v>
      </c>
      <c r="B1147" s="2" t="str">
        <f t="array" ref="B1147">INDEX(Reference!$C$2:$C$19, MOD(ROW()-2, 18) + 1)</f>
        <v>....Financial and insurance activities</v>
      </c>
      <c r="C1147" s="1" t="str">
        <f t="shared" si="1"/>
        <v>Sub</v>
      </c>
      <c r="D1147" s="1">
        <f t="shared" si="2"/>
        <v>2022</v>
      </c>
      <c r="E1147" s="1" t="str">
        <f t="shared" si="3"/>
        <v>At Constant 2018 Prices</v>
      </c>
      <c r="F1147" s="3">
        <v>2.6445317E7</v>
      </c>
    </row>
    <row r="1148" ht="15.75" customHeight="1">
      <c r="A1148" s="1" t="str">
        <f t="array" ref="A1148">INDEX(Reference!$A$2:$A$18, INT((ROW()-2)/(18*3*2)) + 1)</f>
        <v>Ilocos Region</v>
      </c>
      <c r="B1148" s="2" t="str">
        <f t="array" ref="B1148">INDEX(Reference!$C$2:$C$19, MOD(ROW()-2, 18) + 1)</f>
        <v>....Real estate and ownership of dwellings</v>
      </c>
      <c r="C1148" s="1" t="str">
        <f t="shared" si="1"/>
        <v>Sub</v>
      </c>
      <c r="D1148" s="1">
        <f t="shared" si="2"/>
        <v>2022</v>
      </c>
      <c r="E1148" s="1" t="str">
        <f t="shared" si="3"/>
        <v>At Constant 2018 Prices</v>
      </c>
      <c r="F1148" s="3">
        <v>3.7916288E7</v>
      </c>
    </row>
    <row r="1149" ht="15.75" customHeight="1">
      <c r="A1149" s="1" t="str">
        <f t="array" ref="A1149">INDEX(Reference!$A$2:$A$18, INT((ROW()-2)/(18*3*2)) + 1)</f>
        <v>Ilocos Region</v>
      </c>
      <c r="B1149" s="2" t="str">
        <f t="array" ref="B1149">INDEX(Reference!$C$2:$C$19, MOD(ROW()-2, 18) + 1)</f>
        <v>....Professional and business services</v>
      </c>
      <c r="C1149" s="1" t="str">
        <f t="shared" si="1"/>
        <v>Sub</v>
      </c>
      <c r="D1149" s="1">
        <f t="shared" si="2"/>
        <v>2022</v>
      </c>
      <c r="E1149" s="1" t="str">
        <f t="shared" si="3"/>
        <v>At Constant 2018 Prices</v>
      </c>
      <c r="F1149" s="3">
        <v>1.1248871E7</v>
      </c>
    </row>
    <row r="1150" ht="15.75" customHeight="1">
      <c r="A1150" s="1" t="str">
        <f t="array" ref="A1150">INDEX(Reference!$A$2:$A$18, INT((ROW()-2)/(18*3*2)) + 1)</f>
        <v>Ilocos Region</v>
      </c>
      <c r="B1150" s="2" t="str">
        <f t="array" ref="B1150">INDEX(Reference!$C$2:$C$19, MOD(ROW()-2, 18) + 1)</f>
        <v>....Public administration and defense; compulsory social activities</v>
      </c>
      <c r="C1150" s="1" t="str">
        <f t="shared" si="1"/>
        <v>Sub</v>
      </c>
      <c r="D1150" s="1">
        <f t="shared" si="2"/>
        <v>2022</v>
      </c>
      <c r="E1150" s="1" t="str">
        <f t="shared" si="3"/>
        <v>At Constant 2018 Prices</v>
      </c>
      <c r="F1150" s="3">
        <v>2.1494709E7</v>
      </c>
    </row>
    <row r="1151" ht="15.75" customHeight="1">
      <c r="A1151" s="1" t="str">
        <f t="array" ref="A1151">INDEX(Reference!$A$2:$A$18, INT((ROW()-2)/(18*3*2)) + 1)</f>
        <v>Ilocos Region</v>
      </c>
      <c r="B1151" s="2" t="str">
        <f t="array" ref="B1151">INDEX(Reference!$C$2:$C$19, MOD(ROW()-2, 18) + 1)</f>
        <v>....Education</v>
      </c>
      <c r="C1151" s="1" t="str">
        <f t="shared" si="1"/>
        <v>Sub</v>
      </c>
      <c r="D1151" s="1">
        <f t="shared" si="2"/>
        <v>2022</v>
      </c>
      <c r="E1151" s="1" t="str">
        <f t="shared" si="3"/>
        <v>At Constant 2018 Prices</v>
      </c>
      <c r="F1151" s="3">
        <v>3.8562199E7</v>
      </c>
    </row>
    <row r="1152" ht="15.75" customHeight="1">
      <c r="A1152" s="1" t="str">
        <f t="array" ref="A1152">INDEX(Reference!$A$2:$A$18, INT((ROW()-2)/(18*3*2)) + 1)</f>
        <v>Ilocos Region</v>
      </c>
      <c r="B1152" s="2" t="str">
        <f t="array" ref="B1152">INDEX(Reference!$C$2:$C$19, MOD(ROW()-2, 18) + 1)</f>
        <v>....Human health and social work activities</v>
      </c>
      <c r="C1152" s="1" t="str">
        <f t="shared" si="1"/>
        <v>Sub</v>
      </c>
      <c r="D1152" s="1">
        <f t="shared" si="2"/>
        <v>2022</v>
      </c>
      <c r="E1152" s="1" t="str">
        <f t="shared" si="3"/>
        <v>At Constant 2018 Prices</v>
      </c>
      <c r="F1152" s="3">
        <v>1.6820045E7</v>
      </c>
    </row>
    <row r="1153" ht="15.75" customHeight="1">
      <c r="A1153" s="1" t="str">
        <f t="array" ref="A1153">INDEX(Reference!$A$2:$A$18, INT((ROW()-2)/(18*3*2)) + 1)</f>
        <v>Ilocos Region</v>
      </c>
      <c r="B1153" s="2" t="str">
        <f t="array" ref="B1153">INDEX(Reference!$C$2:$C$19, MOD(ROW()-2, 18) + 1)</f>
        <v>....Other services</v>
      </c>
      <c r="C1153" s="1" t="str">
        <f t="shared" si="1"/>
        <v>Sub</v>
      </c>
      <c r="D1153" s="1">
        <f t="shared" si="2"/>
        <v>2022</v>
      </c>
      <c r="E1153" s="1" t="str">
        <f t="shared" si="3"/>
        <v>At Constant 2018 Prices</v>
      </c>
      <c r="F1153" s="3">
        <v>1.2257535E7</v>
      </c>
    </row>
    <row r="1154" ht="15.75" customHeight="1">
      <c r="A1154" s="1" t="str">
        <f t="array" ref="A1154">INDEX(Reference!$A$2:$A$18, INT((ROW()-2)/(18*3*2)) + 1)</f>
        <v>Ilocos Region</v>
      </c>
      <c r="B1154" s="2" t="str">
        <f t="array" ref="B1154">INDEX(Reference!$C$2:$C$19, MOD(ROW()-2, 18) + 1)</f>
        <v>..Agriculture, forestry, and fishing</v>
      </c>
      <c r="C1154" s="1" t="str">
        <f t="shared" si="1"/>
        <v>Main</v>
      </c>
      <c r="D1154" s="1">
        <f t="shared" si="2"/>
        <v>2023</v>
      </c>
      <c r="E1154" s="1" t="str">
        <f t="shared" si="3"/>
        <v>At Constant 2018 Prices</v>
      </c>
      <c r="F1154" s="3">
        <v>1.12779826E8</v>
      </c>
    </row>
    <row r="1155" ht="15.75" customHeight="1">
      <c r="A1155" s="1" t="str">
        <f t="array" ref="A1155">INDEX(Reference!$A$2:$A$18, INT((ROW()-2)/(18*3*2)) + 1)</f>
        <v>Ilocos Region</v>
      </c>
      <c r="B1155" s="2" t="str">
        <f t="array" ref="B1155">INDEX(Reference!$C$2:$C$19, MOD(ROW()-2, 18) + 1)</f>
        <v>..Industry</v>
      </c>
      <c r="C1155" s="1" t="str">
        <f t="shared" si="1"/>
        <v>Main</v>
      </c>
      <c r="D1155" s="1">
        <f t="shared" si="2"/>
        <v>2023</v>
      </c>
      <c r="E1155" s="1" t="str">
        <f t="shared" si="3"/>
        <v>At Constant 2018 Prices</v>
      </c>
      <c r="F1155" s="3">
        <v>2.14081058E8</v>
      </c>
    </row>
    <row r="1156" ht="15.75" customHeight="1">
      <c r="A1156" s="1" t="str">
        <f t="array" ref="A1156">INDEX(Reference!$A$2:$A$18, INT((ROW()-2)/(18*3*2)) + 1)</f>
        <v>Ilocos Region</v>
      </c>
      <c r="B1156" s="2" t="str">
        <f t="array" ref="B1156">INDEX(Reference!$C$2:$C$19, MOD(ROW()-2, 18) + 1)</f>
        <v>....Mining and quarrying</v>
      </c>
      <c r="C1156" s="1" t="str">
        <f t="shared" si="1"/>
        <v>Sub</v>
      </c>
      <c r="D1156" s="1">
        <f t="shared" si="2"/>
        <v>2023</v>
      </c>
      <c r="E1156" s="1" t="str">
        <f t="shared" si="3"/>
        <v>At Constant 2018 Prices</v>
      </c>
      <c r="F1156" s="3">
        <v>1658314.0</v>
      </c>
    </row>
    <row r="1157" ht="15.75" customHeight="1">
      <c r="A1157" s="1" t="str">
        <f t="array" ref="A1157">INDEX(Reference!$A$2:$A$18, INT((ROW()-2)/(18*3*2)) + 1)</f>
        <v>Ilocos Region</v>
      </c>
      <c r="B1157" s="2" t="str">
        <f t="array" ref="B1157">INDEX(Reference!$C$2:$C$19, MOD(ROW()-2, 18) + 1)</f>
        <v>....Manufacturing</v>
      </c>
      <c r="C1157" s="1" t="str">
        <f t="shared" si="1"/>
        <v>Sub</v>
      </c>
      <c r="D1157" s="1">
        <f t="shared" si="2"/>
        <v>2023</v>
      </c>
      <c r="E1157" s="1" t="str">
        <f t="shared" si="3"/>
        <v>At Constant 2018 Prices</v>
      </c>
      <c r="F1157" s="3">
        <v>5.7990332E7</v>
      </c>
    </row>
    <row r="1158" ht="15.75" customHeight="1">
      <c r="A1158" s="1" t="str">
        <f t="array" ref="A1158">INDEX(Reference!$A$2:$A$18, INT((ROW()-2)/(18*3*2)) + 1)</f>
        <v>Ilocos Region</v>
      </c>
      <c r="B1158" s="2" t="str">
        <f t="array" ref="B1158">INDEX(Reference!$C$2:$C$19, MOD(ROW()-2, 18) + 1)</f>
        <v>....Electricity, steam, water and waste management</v>
      </c>
      <c r="C1158" s="1" t="str">
        <f t="shared" si="1"/>
        <v>Sub</v>
      </c>
      <c r="D1158" s="1">
        <f t="shared" si="2"/>
        <v>2023</v>
      </c>
      <c r="E1158" s="1" t="str">
        <f t="shared" si="3"/>
        <v>At Constant 2018 Prices</v>
      </c>
      <c r="F1158" s="3">
        <v>4.974553E7</v>
      </c>
    </row>
    <row r="1159" ht="15.75" customHeight="1">
      <c r="A1159" s="1" t="str">
        <f t="array" ref="A1159">INDEX(Reference!$A$2:$A$18, INT((ROW()-2)/(18*3*2)) + 1)</f>
        <v>Ilocos Region</v>
      </c>
      <c r="B1159" s="2" t="str">
        <f t="array" ref="B1159">INDEX(Reference!$C$2:$C$19, MOD(ROW()-2, 18) + 1)</f>
        <v>....Construction</v>
      </c>
      <c r="C1159" s="1" t="str">
        <f t="shared" si="1"/>
        <v>Sub</v>
      </c>
      <c r="D1159" s="1">
        <f t="shared" si="2"/>
        <v>2023</v>
      </c>
      <c r="E1159" s="1" t="str">
        <f t="shared" si="3"/>
        <v>At Constant 2018 Prices</v>
      </c>
      <c r="F1159" s="3">
        <v>1.04686882E8</v>
      </c>
    </row>
    <row r="1160" ht="15.75" customHeight="1">
      <c r="A1160" s="1" t="str">
        <f t="array" ref="A1160">INDEX(Reference!$A$2:$A$18, INT((ROW()-2)/(18*3*2)) + 1)</f>
        <v>Ilocos Region</v>
      </c>
      <c r="B1160" s="2" t="str">
        <f t="array" ref="B1160">INDEX(Reference!$C$2:$C$19, MOD(ROW()-2, 18) + 1)</f>
        <v>..Services</v>
      </c>
      <c r="C1160" s="1" t="str">
        <f t="shared" si="1"/>
        <v>Main</v>
      </c>
      <c r="D1160" s="1">
        <f t="shared" si="2"/>
        <v>2023</v>
      </c>
      <c r="E1160" s="1" t="str">
        <f t="shared" si="3"/>
        <v>At Constant 2018 Prices</v>
      </c>
      <c r="F1160" s="3">
        <v>3.74126725E8</v>
      </c>
    </row>
    <row r="1161" ht="15.75" customHeight="1">
      <c r="A1161" s="1" t="str">
        <f t="array" ref="A1161">INDEX(Reference!$A$2:$A$18, INT((ROW()-2)/(18*3*2)) + 1)</f>
        <v>Ilocos Region</v>
      </c>
      <c r="B1161" s="2" t="str">
        <f t="array" ref="B1161">INDEX(Reference!$C$2:$C$19, MOD(ROW()-2, 18) + 1)</f>
        <v>....Wholesale and retail trade; repair of motor vehicles and motorcycles</v>
      </c>
      <c r="C1161" s="1" t="str">
        <f t="shared" si="1"/>
        <v>Sub</v>
      </c>
      <c r="D1161" s="1">
        <f t="shared" si="2"/>
        <v>2023</v>
      </c>
      <c r="E1161" s="1" t="str">
        <f t="shared" si="3"/>
        <v>At Constant 2018 Prices</v>
      </c>
      <c r="F1161" s="3">
        <v>1.24974432E8</v>
      </c>
    </row>
    <row r="1162" ht="15.75" customHeight="1">
      <c r="A1162" s="1" t="str">
        <f t="array" ref="A1162">INDEX(Reference!$A$2:$A$18, INT((ROW()-2)/(18*3*2)) + 1)</f>
        <v>Ilocos Region</v>
      </c>
      <c r="B1162" s="2" t="str">
        <f t="array" ref="B1162">INDEX(Reference!$C$2:$C$19, MOD(ROW()-2, 18) + 1)</f>
        <v>....Transportation and storage</v>
      </c>
      <c r="C1162" s="1" t="str">
        <f t="shared" si="1"/>
        <v>Sub</v>
      </c>
      <c r="D1162" s="1">
        <f t="shared" si="2"/>
        <v>2023</v>
      </c>
      <c r="E1162" s="1" t="str">
        <f t="shared" si="3"/>
        <v>At Constant 2018 Prices</v>
      </c>
      <c r="F1162" s="3">
        <v>2.2151862E7</v>
      </c>
    </row>
    <row r="1163" ht="15.75" customHeight="1">
      <c r="A1163" s="1" t="str">
        <f t="array" ref="A1163">INDEX(Reference!$A$2:$A$18, INT((ROW()-2)/(18*3*2)) + 1)</f>
        <v>Ilocos Region</v>
      </c>
      <c r="B1163" s="2" t="str">
        <f t="array" ref="B1163">INDEX(Reference!$C$2:$C$19, MOD(ROW()-2, 18) + 1)</f>
        <v>....Accommodation and food service activities</v>
      </c>
      <c r="C1163" s="1" t="str">
        <f t="shared" si="1"/>
        <v>Sub</v>
      </c>
      <c r="D1163" s="1">
        <f t="shared" si="2"/>
        <v>2023</v>
      </c>
      <c r="E1163" s="1" t="str">
        <f t="shared" si="3"/>
        <v>At Constant 2018 Prices</v>
      </c>
      <c r="F1163" s="3">
        <v>2.1007553E7</v>
      </c>
    </row>
    <row r="1164" ht="15.75" customHeight="1">
      <c r="A1164" s="1" t="str">
        <f t="array" ref="A1164">INDEX(Reference!$A$2:$A$18, INT((ROW()-2)/(18*3*2)) + 1)</f>
        <v>Ilocos Region</v>
      </c>
      <c r="B1164" s="2" t="str">
        <f t="array" ref="B1164">INDEX(Reference!$C$2:$C$19, MOD(ROW()-2, 18) + 1)</f>
        <v>....Information and communication</v>
      </c>
      <c r="C1164" s="1" t="str">
        <f t="shared" si="1"/>
        <v>Sub</v>
      </c>
      <c r="D1164" s="1">
        <f t="shared" si="2"/>
        <v>2023</v>
      </c>
      <c r="E1164" s="1" t="str">
        <f t="shared" si="3"/>
        <v>At Constant 2018 Prices</v>
      </c>
      <c r="F1164" s="3">
        <v>2.8991223E7</v>
      </c>
    </row>
    <row r="1165" ht="15.75" customHeight="1">
      <c r="A1165" s="1" t="str">
        <f t="array" ref="A1165">INDEX(Reference!$A$2:$A$18, INT((ROW()-2)/(18*3*2)) + 1)</f>
        <v>Ilocos Region</v>
      </c>
      <c r="B1165" s="2" t="str">
        <f t="array" ref="B1165">INDEX(Reference!$C$2:$C$19, MOD(ROW()-2, 18) + 1)</f>
        <v>....Financial and insurance activities</v>
      </c>
      <c r="C1165" s="1" t="str">
        <f t="shared" si="1"/>
        <v>Sub</v>
      </c>
      <c r="D1165" s="1">
        <f t="shared" si="2"/>
        <v>2023</v>
      </c>
      <c r="E1165" s="1" t="str">
        <f t="shared" si="3"/>
        <v>At Constant 2018 Prices</v>
      </c>
      <c r="F1165" s="3">
        <v>2.8980702E7</v>
      </c>
    </row>
    <row r="1166" ht="15.75" customHeight="1">
      <c r="A1166" s="1" t="str">
        <f t="array" ref="A1166">INDEX(Reference!$A$2:$A$18, INT((ROW()-2)/(18*3*2)) + 1)</f>
        <v>Ilocos Region</v>
      </c>
      <c r="B1166" s="2" t="str">
        <f t="array" ref="B1166">INDEX(Reference!$C$2:$C$19, MOD(ROW()-2, 18) + 1)</f>
        <v>....Real estate and ownership of dwellings</v>
      </c>
      <c r="C1166" s="1" t="str">
        <f t="shared" si="1"/>
        <v>Sub</v>
      </c>
      <c r="D1166" s="1">
        <f t="shared" si="2"/>
        <v>2023</v>
      </c>
      <c r="E1166" s="1" t="str">
        <f t="shared" si="3"/>
        <v>At Constant 2018 Prices</v>
      </c>
      <c r="F1166" s="3">
        <v>4.0080061E7</v>
      </c>
    </row>
    <row r="1167" ht="15.75" customHeight="1">
      <c r="A1167" s="1" t="str">
        <f t="array" ref="A1167">INDEX(Reference!$A$2:$A$18, INT((ROW()-2)/(18*3*2)) + 1)</f>
        <v>Ilocos Region</v>
      </c>
      <c r="B1167" s="2" t="str">
        <f t="array" ref="B1167">INDEX(Reference!$C$2:$C$19, MOD(ROW()-2, 18) + 1)</f>
        <v>....Professional and business services</v>
      </c>
      <c r="C1167" s="1" t="str">
        <f t="shared" si="1"/>
        <v>Sub</v>
      </c>
      <c r="D1167" s="1">
        <f t="shared" si="2"/>
        <v>2023</v>
      </c>
      <c r="E1167" s="1" t="str">
        <f t="shared" si="3"/>
        <v>At Constant 2018 Prices</v>
      </c>
      <c r="F1167" s="3">
        <v>1.2316954E7</v>
      </c>
    </row>
    <row r="1168" ht="15.75" customHeight="1">
      <c r="A1168" s="1" t="str">
        <f t="array" ref="A1168">INDEX(Reference!$A$2:$A$18, INT((ROW()-2)/(18*3*2)) + 1)</f>
        <v>Ilocos Region</v>
      </c>
      <c r="B1168" s="2" t="str">
        <f t="array" ref="B1168">INDEX(Reference!$C$2:$C$19, MOD(ROW()-2, 18) + 1)</f>
        <v>....Public administration and defense; compulsory social activities</v>
      </c>
      <c r="C1168" s="1" t="str">
        <f t="shared" si="1"/>
        <v>Sub</v>
      </c>
      <c r="D1168" s="1">
        <f t="shared" si="2"/>
        <v>2023</v>
      </c>
      <c r="E1168" s="1" t="str">
        <f t="shared" si="3"/>
        <v>At Constant 2018 Prices</v>
      </c>
      <c r="F1168" s="3">
        <v>2.3509185E7</v>
      </c>
    </row>
    <row r="1169" ht="15.75" customHeight="1">
      <c r="A1169" s="1" t="str">
        <f t="array" ref="A1169">INDEX(Reference!$A$2:$A$18, INT((ROW()-2)/(18*3*2)) + 1)</f>
        <v>Ilocos Region</v>
      </c>
      <c r="B1169" s="2" t="str">
        <f t="array" ref="B1169">INDEX(Reference!$C$2:$C$19, MOD(ROW()-2, 18) + 1)</f>
        <v>....Education</v>
      </c>
      <c r="C1169" s="1" t="str">
        <f t="shared" si="1"/>
        <v>Sub</v>
      </c>
      <c r="D1169" s="1">
        <f t="shared" si="2"/>
        <v>2023</v>
      </c>
      <c r="E1169" s="1" t="str">
        <f t="shared" si="3"/>
        <v>At Constant 2018 Prices</v>
      </c>
      <c r="F1169" s="3">
        <v>4.0306912E7</v>
      </c>
    </row>
    <row r="1170" ht="15.75" customHeight="1">
      <c r="A1170" s="1" t="str">
        <f t="array" ref="A1170">INDEX(Reference!$A$2:$A$18, INT((ROW()-2)/(18*3*2)) + 1)</f>
        <v>Ilocos Region</v>
      </c>
      <c r="B1170" s="2" t="str">
        <f t="array" ref="B1170">INDEX(Reference!$C$2:$C$19, MOD(ROW()-2, 18) + 1)</f>
        <v>....Human health and social work activities</v>
      </c>
      <c r="C1170" s="1" t="str">
        <f t="shared" si="1"/>
        <v>Sub</v>
      </c>
      <c r="D1170" s="1">
        <f t="shared" si="2"/>
        <v>2023</v>
      </c>
      <c r="E1170" s="1" t="str">
        <f t="shared" si="3"/>
        <v>At Constant 2018 Prices</v>
      </c>
      <c r="F1170" s="3">
        <v>1.7700659E7</v>
      </c>
    </row>
    <row r="1171" ht="15.75" customHeight="1">
      <c r="A1171" s="1" t="str">
        <f t="array" ref="A1171">INDEX(Reference!$A$2:$A$18, INT((ROW()-2)/(18*3*2)) + 1)</f>
        <v>Ilocos Region</v>
      </c>
      <c r="B1171" s="2" t="str">
        <f t="array" ref="B1171">INDEX(Reference!$C$2:$C$19, MOD(ROW()-2, 18) + 1)</f>
        <v>....Other services</v>
      </c>
      <c r="C1171" s="1" t="str">
        <f t="shared" si="1"/>
        <v>Sub</v>
      </c>
      <c r="D1171" s="1">
        <f t="shared" si="2"/>
        <v>2023</v>
      </c>
      <c r="E1171" s="1" t="str">
        <f t="shared" si="3"/>
        <v>At Constant 2018 Prices</v>
      </c>
      <c r="F1171" s="3">
        <v>1.4107181E7</v>
      </c>
    </row>
    <row r="1172" ht="15.75" customHeight="1">
      <c r="A1172" s="1" t="str">
        <f t="array" ref="A1172">INDEX(Reference!$A$2:$A$18, INT((ROW()-2)/(18*3*2)) + 1)</f>
        <v>Ilocos Region</v>
      </c>
      <c r="B1172" s="2" t="str">
        <f t="array" ref="B1172">INDEX(Reference!$C$2:$C$19, MOD(ROW()-2, 18) + 1)</f>
        <v>..Agriculture, forestry, and fishing</v>
      </c>
      <c r="C1172" s="1" t="str">
        <f t="shared" si="1"/>
        <v>Main</v>
      </c>
      <c r="D1172" s="1">
        <f t="shared" si="2"/>
        <v>2024</v>
      </c>
      <c r="E1172" s="1" t="str">
        <f t="shared" si="3"/>
        <v>At Constant 2018 Prices</v>
      </c>
      <c r="F1172" s="3">
        <v>1.12101747E8</v>
      </c>
    </row>
    <row r="1173" ht="15.75" customHeight="1">
      <c r="A1173" s="1" t="str">
        <f t="array" ref="A1173">INDEX(Reference!$A$2:$A$18, INT((ROW()-2)/(18*3*2)) + 1)</f>
        <v>Ilocos Region</v>
      </c>
      <c r="B1173" s="2" t="str">
        <f t="array" ref="B1173">INDEX(Reference!$C$2:$C$19, MOD(ROW()-2, 18) + 1)</f>
        <v>..Industry</v>
      </c>
      <c r="C1173" s="1" t="str">
        <f t="shared" si="1"/>
        <v>Main</v>
      </c>
      <c r="D1173" s="1">
        <f t="shared" si="2"/>
        <v>2024</v>
      </c>
      <c r="E1173" s="1" t="str">
        <f t="shared" si="3"/>
        <v>At Constant 2018 Prices</v>
      </c>
      <c r="F1173" s="3">
        <v>2.23840052E8</v>
      </c>
    </row>
    <row r="1174" ht="15.75" customHeight="1">
      <c r="A1174" s="1" t="str">
        <f t="array" ref="A1174">INDEX(Reference!$A$2:$A$18, INT((ROW()-2)/(18*3*2)) + 1)</f>
        <v>Ilocos Region</v>
      </c>
      <c r="B1174" s="2" t="str">
        <f t="array" ref="B1174">INDEX(Reference!$C$2:$C$19, MOD(ROW()-2, 18) + 1)</f>
        <v>....Mining and quarrying</v>
      </c>
      <c r="C1174" s="1" t="str">
        <f t="shared" si="1"/>
        <v>Sub</v>
      </c>
      <c r="D1174" s="1">
        <f t="shared" si="2"/>
        <v>2024</v>
      </c>
      <c r="E1174" s="1" t="str">
        <f t="shared" si="3"/>
        <v>At Constant 2018 Prices</v>
      </c>
      <c r="F1174" s="3">
        <v>1715943.0</v>
      </c>
    </row>
    <row r="1175" ht="15.75" customHeight="1">
      <c r="A1175" s="1" t="str">
        <f t="array" ref="A1175">INDEX(Reference!$A$2:$A$18, INT((ROW()-2)/(18*3*2)) + 1)</f>
        <v>Ilocos Region</v>
      </c>
      <c r="B1175" s="2" t="str">
        <f t="array" ref="B1175">INDEX(Reference!$C$2:$C$19, MOD(ROW()-2, 18) + 1)</f>
        <v>....Manufacturing</v>
      </c>
      <c r="C1175" s="1" t="str">
        <f t="shared" si="1"/>
        <v>Sub</v>
      </c>
      <c r="D1175" s="1">
        <f t="shared" si="2"/>
        <v>2024</v>
      </c>
      <c r="E1175" s="1" t="str">
        <f t="shared" si="3"/>
        <v>At Constant 2018 Prices</v>
      </c>
      <c r="F1175" s="3">
        <v>5.8462588E7</v>
      </c>
    </row>
    <row r="1176" ht="15.75" customHeight="1">
      <c r="A1176" s="1" t="str">
        <f t="array" ref="A1176">INDEX(Reference!$A$2:$A$18, INT((ROW()-2)/(18*3*2)) + 1)</f>
        <v>Ilocos Region</v>
      </c>
      <c r="B1176" s="2" t="str">
        <f t="array" ref="B1176">INDEX(Reference!$C$2:$C$19, MOD(ROW()-2, 18) + 1)</f>
        <v>....Electricity, steam, water and waste management</v>
      </c>
      <c r="C1176" s="1" t="str">
        <f t="shared" si="1"/>
        <v>Sub</v>
      </c>
      <c r="D1176" s="1">
        <f t="shared" si="2"/>
        <v>2024</v>
      </c>
      <c r="E1176" s="1" t="str">
        <f t="shared" si="3"/>
        <v>At Constant 2018 Prices</v>
      </c>
      <c r="F1176" s="3">
        <v>5.2664753E7</v>
      </c>
    </row>
    <row r="1177" ht="15.75" customHeight="1">
      <c r="A1177" s="1" t="str">
        <f t="array" ref="A1177">INDEX(Reference!$A$2:$A$18, INT((ROW()-2)/(18*3*2)) + 1)</f>
        <v>Ilocos Region</v>
      </c>
      <c r="B1177" s="2" t="str">
        <f t="array" ref="B1177">INDEX(Reference!$C$2:$C$19, MOD(ROW()-2, 18) + 1)</f>
        <v>....Construction</v>
      </c>
      <c r="C1177" s="1" t="str">
        <f t="shared" si="1"/>
        <v>Sub</v>
      </c>
      <c r="D1177" s="1">
        <f t="shared" si="2"/>
        <v>2024</v>
      </c>
      <c r="E1177" s="1" t="str">
        <f t="shared" si="3"/>
        <v>At Constant 2018 Prices</v>
      </c>
      <c r="F1177" s="3">
        <v>1.10996768E8</v>
      </c>
    </row>
    <row r="1178" ht="15.75" customHeight="1">
      <c r="A1178" s="1" t="str">
        <f t="array" ref="A1178">INDEX(Reference!$A$2:$A$18, INT((ROW()-2)/(18*3*2)) + 1)</f>
        <v>Ilocos Region</v>
      </c>
      <c r="B1178" s="2" t="str">
        <f t="array" ref="B1178">INDEX(Reference!$C$2:$C$19, MOD(ROW()-2, 18) + 1)</f>
        <v>..Services</v>
      </c>
      <c r="C1178" s="1" t="str">
        <f t="shared" si="1"/>
        <v>Main</v>
      </c>
      <c r="D1178" s="1">
        <f t="shared" si="2"/>
        <v>2024</v>
      </c>
      <c r="E1178" s="1" t="str">
        <f t="shared" si="3"/>
        <v>At Constant 2018 Prices</v>
      </c>
      <c r="F1178" s="3">
        <v>3.99674823E8</v>
      </c>
    </row>
    <row r="1179" ht="15.75" customHeight="1">
      <c r="A1179" s="1" t="str">
        <f t="array" ref="A1179">INDEX(Reference!$A$2:$A$18, INT((ROW()-2)/(18*3*2)) + 1)</f>
        <v>Ilocos Region</v>
      </c>
      <c r="B1179" s="2" t="str">
        <f t="array" ref="B1179">INDEX(Reference!$C$2:$C$19, MOD(ROW()-2, 18) + 1)</f>
        <v>....Wholesale and retail trade; repair of motor vehicles and motorcycles</v>
      </c>
      <c r="C1179" s="1" t="str">
        <f t="shared" si="1"/>
        <v>Sub</v>
      </c>
      <c r="D1179" s="1">
        <f t="shared" si="2"/>
        <v>2024</v>
      </c>
      <c r="E1179" s="1" t="str">
        <f t="shared" si="3"/>
        <v>At Constant 2018 Prices</v>
      </c>
      <c r="F1179" s="3">
        <v>1.31234868E8</v>
      </c>
    </row>
    <row r="1180" ht="15.75" customHeight="1">
      <c r="A1180" s="1" t="str">
        <f t="array" ref="A1180">INDEX(Reference!$A$2:$A$18, INT((ROW()-2)/(18*3*2)) + 1)</f>
        <v>Ilocos Region</v>
      </c>
      <c r="B1180" s="2" t="str">
        <f t="array" ref="B1180">INDEX(Reference!$C$2:$C$19, MOD(ROW()-2, 18) + 1)</f>
        <v>....Transportation and storage</v>
      </c>
      <c r="C1180" s="1" t="str">
        <f t="shared" si="1"/>
        <v>Sub</v>
      </c>
      <c r="D1180" s="1">
        <f t="shared" si="2"/>
        <v>2024</v>
      </c>
      <c r="E1180" s="1" t="str">
        <f t="shared" si="3"/>
        <v>At Constant 2018 Prices</v>
      </c>
      <c r="F1180" s="3">
        <v>2.4055726E7</v>
      </c>
    </row>
    <row r="1181" ht="15.75" customHeight="1">
      <c r="A1181" s="1" t="str">
        <f t="array" ref="A1181">INDEX(Reference!$A$2:$A$18, INT((ROW()-2)/(18*3*2)) + 1)</f>
        <v>Ilocos Region</v>
      </c>
      <c r="B1181" s="2" t="str">
        <f t="array" ref="B1181">INDEX(Reference!$C$2:$C$19, MOD(ROW()-2, 18) + 1)</f>
        <v>....Accommodation and food service activities</v>
      </c>
      <c r="C1181" s="1" t="str">
        <f t="shared" si="1"/>
        <v>Sub</v>
      </c>
      <c r="D1181" s="1">
        <f t="shared" si="2"/>
        <v>2024</v>
      </c>
      <c r="E1181" s="1" t="str">
        <f t="shared" si="3"/>
        <v>At Constant 2018 Prices</v>
      </c>
      <c r="F1181" s="3">
        <v>2.3347632E7</v>
      </c>
    </row>
    <row r="1182" ht="15.75" customHeight="1">
      <c r="A1182" s="1" t="str">
        <f t="array" ref="A1182">INDEX(Reference!$A$2:$A$18, INT((ROW()-2)/(18*3*2)) + 1)</f>
        <v>Ilocos Region</v>
      </c>
      <c r="B1182" s="2" t="str">
        <f t="array" ref="B1182">INDEX(Reference!$C$2:$C$19, MOD(ROW()-2, 18) + 1)</f>
        <v>....Information and communication</v>
      </c>
      <c r="C1182" s="1" t="str">
        <f t="shared" si="1"/>
        <v>Sub</v>
      </c>
      <c r="D1182" s="1">
        <f t="shared" si="2"/>
        <v>2024</v>
      </c>
      <c r="E1182" s="1" t="str">
        <f t="shared" si="3"/>
        <v>At Constant 2018 Prices</v>
      </c>
      <c r="F1182" s="3">
        <v>3.0439807E7</v>
      </c>
    </row>
    <row r="1183" ht="15.75" customHeight="1">
      <c r="A1183" s="1" t="str">
        <f t="array" ref="A1183">INDEX(Reference!$A$2:$A$18, INT((ROW()-2)/(18*3*2)) + 1)</f>
        <v>Ilocos Region</v>
      </c>
      <c r="B1183" s="2" t="str">
        <f t="array" ref="B1183">INDEX(Reference!$C$2:$C$19, MOD(ROW()-2, 18) + 1)</f>
        <v>....Financial and insurance activities</v>
      </c>
      <c r="C1183" s="1" t="str">
        <f t="shared" si="1"/>
        <v>Sub</v>
      </c>
      <c r="D1183" s="1">
        <f t="shared" si="2"/>
        <v>2024</v>
      </c>
      <c r="E1183" s="1" t="str">
        <f t="shared" si="3"/>
        <v>At Constant 2018 Prices</v>
      </c>
      <c r="F1183" s="3">
        <v>3.2822256E7</v>
      </c>
    </row>
    <row r="1184" ht="15.75" customHeight="1">
      <c r="A1184" s="1" t="str">
        <f t="array" ref="A1184">INDEX(Reference!$A$2:$A$18, INT((ROW()-2)/(18*3*2)) + 1)</f>
        <v>Ilocos Region</v>
      </c>
      <c r="B1184" s="2" t="str">
        <f t="array" ref="B1184">INDEX(Reference!$C$2:$C$19, MOD(ROW()-2, 18) + 1)</f>
        <v>....Real estate and ownership of dwellings</v>
      </c>
      <c r="C1184" s="1" t="str">
        <f t="shared" si="1"/>
        <v>Sub</v>
      </c>
      <c r="D1184" s="1">
        <f t="shared" si="2"/>
        <v>2024</v>
      </c>
      <c r="E1184" s="1" t="str">
        <f t="shared" si="3"/>
        <v>At Constant 2018 Prices</v>
      </c>
      <c r="F1184" s="3">
        <v>4.3100677E7</v>
      </c>
    </row>
    <row r="1185" ht="15.75" customHeight="1">
      <c r="A1185" s="1" t="str">
        <f t="array" ref="A1185">INDEX(Reference!$A$2:$A$18, INT((ROW()-2)/(18*3*2)) + 1)</f>
        <v>Ilocos Region</v>
      </c>
      <c r="B1185" s="2" t="str">
        <f t="array" ref="B1185">INDEX(Reference!$C$2:$C$19, MOD(ROW()-2, 18) + 1)</f>
        <v>....Professional and business services</v>
      </c>
      <c r="C1185" s="1" t="str">
        <f t="shared" si="1"/>
        <v>Sub</v>
      </c>
      <c r="D1185" s="1">
        <f t="shared" si="2"/>
        <v>2024</v>
      </c>
      <c r="E1185" s="1" t="str">
        <f t="shared" si="3"/>
        <v>At Constant 2018 Prices</v>
      </c>
      <c r="F1185" s="3">
        <v>1.3746251E7</v>
      </c>
    </row>
    <row r="1186" ht="15.75" customHeight="1">
      <c r="A1186" s="1" t="str">
        <f t="array" ref="A1186">INDEX(Reference!$A$2:$A$18, INT((ROW()-2)/(18*3*2)) + 1)</f>
        <v>Ilocos Region</v>
      </c>
      <c r="B1186" s="2" t="str">
        <f t="array" ref="B1186">INDEX(Reference!$C$2:$C$19, MOD(ROW()-2, 18) + 1)</f>
        <v>....Public administration and defense; compulsory social activities</v>
      </c>
      <c r="C1186" s="1" t="str">
        <f t="shared" si="1"/>
        <v>Sub</v>
      </c>
      <c r="D1186" s="1">
        <f t="shared" si="2"/>
        <v>2024</v>
      </c>
      <c r="E1186" s="1" t="str">
        <f t="shared" si="3"/>
        <v>At Constant 2018 Prices</v>
      </c>
      <c r="F1186" s="3">
        <v>2.4763078E7</v>
      </c>
    </row>
    <row r="1187" ht="15.75" customHeight="1">
      <c r="A1187" s="1" t="str">
        <f t="array" ref="A1187">INDEX(Reference!$A$2:$A$18, INT((ROW()-2)/(18*3*2)) + 1)</f>
        <v>Ilocos Region</v>
      </c>
      <c r="B1187" s="2" t="str">
        <f t="array" ref="B1187">INDEX(Reference!$C$2:$C$19, MOD(ROW()-2, 18) + 1)</f>
        <v>....Education</v>
      </c>
      <c r="C1187" s="1" t="str">
        <f t="shared" si="1"/>
        <v>Sub</v>
      </c>
      <c r="D1187" s="1">
        <f t="shared" si="2"/>
        <v>2024</v>
      </c>
      <c r="E1187" s="1" t="str">
        <f t="shared" si="3"/>
        <v>At Constant 2018 Prices</v>
      </c>
      <c r="F1187" s="3">
        <v>4.1627728E7</v>
      </c>
    </row>
    <row r="1188" ht="15.75" customHeight="1">
      <c r="A1188" s="1" t="str">
        <f t="array" ref="A1188">INDEX(Reference!$A$2:$A$18, INT((ROW()-2)/(18*3*2)) + 1)</f>
        <v>Ilocos Region</v>
      </c>
      <c r="B1188" s="2" t="str">
        <f t="array" ref="B1188">INDEX(Reference!$C$2:$C$19, MOD(ROW()-2, 18) + 1)</f>
        <v>....Human health and social work activities</v>
      </c>
      <c r="C1188" s="1" t="str">
        <f t="shared" si="1"/>
        <v>Sub</v>
      </c>
      <c r="D1188" s="1">
        <f t="shared" si="2"/>
        <v>2024</v>
      </c>
      <c r="E1188" s="1" t="str">
        <f t="shared" si="3"/>
        <v>At Constant 2018 Prices</v>
      </c>
      <c r="F1188" s="3">
        <v>1.9586301E7</v>
      </c>
    </row>
    <row r="1189" ht="15.75" customHeight="1">
      <c r="A1189" s="1" t="str">
        <f t="array" ref="A1189">INDEX(Reference!$A$2:$A$18, INT((ROW()-2)/(18*3*2)) + 1)</f>
        <v>Ilocos Region</v>
      </c>
      <c r="B1189" s="2" t="str">
        <f t="array" ref="B1189">INDEX(Reference!$C$2:$C$19, MOD(ROW()-2, 18) + 1)</f>
        <v>....Other services</v>
      </c>
      <c r="C1189" s="1" t="str">
        <f t="shared" si="1"/>
        <v>Sub</v>
      </c>
      <c r="D1189" s="1">
        <f t="shared" si="2"/>
        <v>2024</v>
      </c>
      <c r="E1189" s="1" t="str">
        <f t="shared" si="3"/>
        <v>At Constant 2018 Prices</v>
      </c>
      <c r="F1189" s="3">
        <v>1.4950498E7</v>
      </c>
    </row>
    <row r="1190" ht="15.75" customHeight="1">
      <c r="A1190" s="1" t="str">
        <f t="array" ref="A1190">INDEX(Reference!$A$2:$A$18, INT((ROW()-2)/(18*3*2)) + 1)</f>
        <v>MIMAROPA Region</v>
      </c>
      <c r="B1190" s="2" t="str">
        <f t="array" ref="B1190">INDEX(Reference!$C$2:$C$19, MOD(ROW()-2, 18) + 1)</f>
        <v>..Agriculture, forestry, and fishing</v>
      </c>
      <c r="C1190" s="1" t="str">
        <f t="shared" si="1"/>
        <v>Main</v>
      </c>
      <c r="D1190" s="1">
        <f t="shared" si="2"/>
        <v>2022</v>
      </c>
      <c r="E1190" s="1" t="str">
        <f t="shared" si="3"/>
        <v>At Current Prices</v>
      </c>
      <c r="F1190" s="3">
        <v>7.4676679E7</v>
      </c>
    </row>
    <row r="1191" ht="15.75" customHeight="1">
      <c r="A1191" s="1" t="str">
        <f t="array" ref="A1191">INDEX(Reference!$A$2:$A$18, INT((ROW()-2)/(18*3*2)) + 1)</f>
        <v>MIMAROPA Region</v>
      </c>
      <c r="B1191" s="2" t="str">
        <f t="array" ref="B1191">INDEX(Reference!$C$2:$C$19, MOD(ROW()-2, 18) + 1)</f>
        <v>..Industry</v>
      </c>
      <c r="C1191" s="1" t="str">
        <f t="shared" si="1"/>
        <v>Main</v>
      </c>
      <c r="D1191" s="1">
        <f t="shared" si="2"/>
        <v>2022</v>
      </c>
      <c r="E1191" s="1" t="str">
        <f t="shared" si="3"/>
        <v>At Current Prices</v>
      </c>
      <c r="F1191" s="3">
        <v>1.58605195E8</v>
      </c>
    </row>
    <row r="1192" ht="15.75" customHeight="1">
      <c r="A1192" s="1" t="str">
        <f t="array" ref="A1192">INDEX(Reference!$A$2:$A$18, INT((ROW()-2)/(18*3*2)) + 1)</f>
        <v>MIMAROPA Region</v>
      </c>
      <c r="B1192" s="2" t="str">
        <f t="array" ref="B1192">INDEX(Reference!$C$2:$C$19, MOD(ROW()-2, 18) + 1)</f>
        <v>....Mining and quarrying</v>
      </c>
      <c r="C1192" s="1" t="str">
        <f t="shared" si="1"/>
        <v>Sub</v>
      </c>
      <c r="D1192" s="1">
        <f t="shared" si="2"/>
        <v>2022</v>
      </c>
      <c r="E1192" s="1" t="str">
        <f t="shared" si="3"/>
        <v>At Current Prices</v>
      </c>
      <c r="F1192" s="3">
        <v>5.6082544E7</v>
      </c>
    </row>
    <row r="1193" ht="15.75" customHeight="1">
      <c r="A1193" s="1" t="str">
        <f t="array" ref="A1193">INDEX(Reference!$A$2:$A$18, INT((ROW()-2)/(18*3*2)) + 1)</f>
        <v>MIMAROPA Region</v>
      </c>
      <c r="B1193" s="2" t="str">
        <f t="array" ref="B1193">INDEX(Reference!$C$2:$C$19, MOD(ROW()-2, 18) + 1)</f>
        <v>....Manufacturing</v>
      </c>
      <c r="C1193" s="1" t="str">
        <f t="shared" si="1"/>
        <v>Sub</v>
      </c>
      <c r="D1193" s="1">
        <f t="shared" si="2"/>
        <v>2022</v>
      </c>
      <c r="E1193" s="1" t="str">
        <f t="shared" si="3"/>
        <v>At Current Prices</v>
      </c>
      <c r="F1193" s="3">
        <v>4.7171042E7</v>
      </c>
    </row>
    <row r="1194" ht="15.75" customHeight="1">
      <c r="A1194" s="1" t="str">
        <f t="array" ref="A1194">INDEX(Reference!$A$2:$A$18, INT((ROW()-2)/(18*3*2)) + 1)</f>
        <v>MIMAROPA Region</v>
      </c>
      <c r="B1194" s="2" t="str">
        <f t="array" ref="B1194">INDEX(Reference!$C$2:$C$19, MOD(ROW()-2, 18) + 1)</f>
        <v>....Electricity, steam, water and waste management</v>
      </c>
      <c r="C1194" s="1" t="str">
        <f t="shared" si="1"/>
        <v>Sub</v>
      </c>
      <c r="D1194" s="1">
        <f t="shared" si="2"/>
        <v>2022</v>
      </c>
      <c r="E1194" s="1" t="str">
        <f t="shared" si="3"/>
        <v>At Current Prices</v>
      </c>
      <c r="F1194" s="3">
        <v>1.8532002E7</v>
      </c>
    </row>
    <row r="1195" ht="15.75" customHeight="1">
      <c r="A1195" s="1" t="str">
        <f t="array" ref="A1195">INDEX(Reference!$A$2:$A$18, INT((ROW()-2)/(18*3*2)) + 1)</f>
        <v>MIMAROPA Region</v>
      </c>
      <c r="B1195" s="2" t="str">
        <f t="array" ref="B1195">INDEX(Reference!$C$2:$C$19, MOD(ROW()-2, 18) + 1)</f>
        <v>....Construction</v>
      </c>
      <c r="C1195" s="1" t="str">
        <f t="shared" si="1"/>
        <v>Sub</v>
      </c>
      <c r="D1195" s="1">
        <f t="shared" si="2"/>
        <v>2022</v>
      </c>
      <c r="E1195" s="1" t="str">
        <f t="shared" si="3"/>
        <v>At Current Prices</v>
      </c>
      <c r="F1195" s="3">
        <v>3.6819608E7</v>
      </c>
    </row>
    <row r="1196" ht="15.75" customHeight="1">
      <c r="A1196" s="1" t="str">
        <f t="array" ref="A1196">INDEX(Reference!$A$2:$A$18, INT((ROW()-2)/(18*3*2)) + 1)</f>
        <v>MIMAROPA Region</v>
      </c>
      <c r="B1196" s="2" t="str">
        <f t="array" ref="B1196">INDEX(Reference!$C$2:$C$19, MOD(ROW()-2, 18) + 1)</f>
        <v>..Services</v>
      </c>
      <c r="C1196" s="1" t="str">
        <f t="shared" si="1"/>
        <v>Main</v>
      </c>
      <c r="D1196" s="1">
        <f t="shared" si="2"/>
        <v>2022</v>
      </c>
      <c r="E1196" s="1" t="str">
        <f t="shared" si="3"/>
        <v>At Current Prices</v>
      </c>
      <c r="F1196" s="3">
        <v>2.19808054E8</v>
      </c>
    </row>
    <row r="1197" ht="15.75" customHeight="1">
      <c r="A1197" s="1" t="str">
        <f t="array" ref="A1197">INDEX(Reference!$A$2:$A$18, INT((ROW()-2)/(18*3*2)) + 1)</f>
        <v>MIMAROPA Region</v>
      </c>
      <c r="B1197" s="2" t="str">
        <f t="array" ref="B1197">INDEX(Reference!$C$2:$C$19, MOD(ROW()-2, 18) + 1)</f>
        <v>....Wholesale and retail trade; repair of motor vehicles and motorcycles</v>
      </c>
      <c r="C1197" s="1" t="str">
        <f t="shared" si="1"/>
        <v>Sub</v>
      </c>
      <c r="D1197" s="1">
        <f t="shared" si="2"/>
        <v>2022</v>
      </c>
      <c r="E1197" s="1" t="str">
        <f t="shared" si="3"/>
        <v>At Current Prices</v>
      </c>
      <c r="F1197" s="3">
        <v>6.0815495E7</v>
      </c>
    </row>
    <row r="1198" ht="15.75" customHeight="1">
      <c r="A1198" s="1" t="str">
        <f t="array" ref="A1198">INDEX(Reference!$A$2:$A$18, INT((ROW()-2)/(18*3*2)) + 1)</f>
        <v>MIMAROPA Region</v>
      </c>
      <c r="B1198" s="2" t="str">
        <f t="array" ref="B1198">INDEX(Reference!$C$2:$C$19, MOD(ROW()-2, 18) + 1)</f>
        <v>....Transportation and storage</v>
      </c>
      <c r="C1198" s="1" t="str">
        <f t="shared" si="1"/>
        <v>Sub</v>
      </c>
      <c r="D1198" s="1">
        <f t="shared" si="2"/>
        <v>2022</v>
      </c>
      <c r="E1198" s="1" t="str">
        <f t="shared" si="3"/>
        <v>At Current Prices</v>
      </c>
      <c r="F1198" s="3">
        <v>3.1013936E7</v>
      </c>
    </row>
    <row r="1199" ht="15.75" customHeight="1">
      <c r="A1199" s="1" t="str">
        <f t="array" ref="A1199">INDEX(Reference!$A$2:$A$18, INT((ROW()-2)/(18*3*2)) + 1)</f>
        <v>MIMAROPA Region</v>
      </c>
      <c r="B1199" s="2" t="str">
        <f t="array" ref="B1199">INDEX(Reference!$C$2:$C$19, MOD(ROW()-2, 18) + 1)</f>
        <v>....Accommodation and food service activities</v>
      </c>
      <c r="C1199" s="1" t="str">
        <f t="shared" si="1"/>
        <v>Sub</v>
      </c>
      <c r="D1199" s="1">
        <f t="shared" si="2"/>
        <v>2022</v>
      </c>
      <c r="E1199" s="1" t="str">
        <f t="shared" si="3"/>
        <v>At Current Prices</v>
      </c>
      <c r="F1199" s="3">
        <v>1.3249136E7</v>
      </c>
    </row>
    <row r="1200" ht="15.75" customHeight="1">
      <c r="A1200" s="1" t="str">
        <f t="array" ref="A1200">INDEX(Reference!$A$2:$A$18, INT((ROW()-2)/(18*3*2)) + 1)</f>
        <v>MIMAROPA Region</v>
      </c>
      <c r="B1200" s="2" t="str">
        <f t="array" ref="B1200">INDEX(Reference!$C$2:$C$19, MOD(ROW()-2, 18) + 1)</f>
        <v>....Information and communication</v>
      </c>
      <c r="C1200" s="1" t="str">
        <f t="shared" si="1"/>
        <v>Sub</v>
      </c>
      <c r="D1200" s="1">
        <f t="shared" si="2"/>
        <v>2022</v>
      </c>
      <c r="E1200" s="1" t="str">
        <f t="shared" si="3"/>
        <v>At Current Prices</v>
      </c>
      <c r="F1200" s="3">
        <v>1.4359345E7</v>
      </c>
    </row>
    <row r="1201" ht="15.75" customHeight="1">
      <c r="A1201" s="1" t="str">
        <f t="array" ref="A1201">INDEX(Reference!$A$2:$A$18, INT((ROW()-2)/(18*3*2)) + 1)</f>
        <v>MIMAROPA Region</v>
      </c>
      <c r="B1201" s="2" t="str">
        <f t="array" ref="B1201">INDEX(Reference!$C$2:$C$19, MOD(ROW()-2, 18) + 1)</f>
        <v>....Financial and insurance activities</v>
      </c>
      <c r="C1201" s="1" t="str">
        <f t="shared" si="1"/>
        <v>Sub</v>
      </c>
      <c r="D1201" s="1">
        <f t="shared" si="2"/>
        <v>2022</v>
      </c>
      <c r="E1201" s="1" t="str">
        <f t="shared" si="3"/>
        <v>At Current Prices</v>
      </c>
      <c r="F1201" s="3">
        <v>2.2618255E7</v>
      </c>
    </row>
    <row r="1202" ht="15.75" customHeight="1">
      <c r="A1202" s="1" t="str">
        <f t="array" ref="A1202">INDEX(Reference!$A$2:$A$18, INT((ROW()-2)/(18*3*2)) + 1)</f>
        <v>MIMAROPA Region</v>
      </c>
      <c r="B1202" s="2" t="str">
        <f t="array" ref="B1202">INDEX(Reference!$C$2:$C$19, MOD(ROW()-2, 18) + 1)</f>
        <v>....Real estate and ownership of dwellings</v>
      </c>
      <c r="C1202" s="1" t="str">
        <f t="shared" si="1"/>
        <v>Sub</v>
      </c>
      <c r="D1202" s="1">
        <f t="shared" si="2"/>
        <v>2022</v>
      </c>
      <c r="E1202" s="1" t="str">
        <f t="shared" si="3"/>
        <v>At Current Prices</v>
      </c>
      <c r="F1202" s="3">
        <v>1.2510688E7</v>
      </c>
    </row>
    <row r="1203" ht="15.75" customHeight="1">
      <c r="A1203" s="1" t="str">
        <f t="array" ref="A1203">INDEX(Reference!$A$2:$A$18, INT((ROW()-2)/(18*3*2)) + 1)</f>
        <v>MIMAROPA Region</v>
      </c>
      <c r="B1203" s="2" t="str">
        <f t="array" ref="B1203">INDEX(Reference!$C$2:$C$19, MOD(ROW()-2, 18) + 1)</f>
        <v>....Professional and business services</v>
      </c>
      <c r="C1203" s="1" t="str">
        <f t="shared" si="1"/>
        <v>Sub</v>
      </c>
      <c r="D1203" s="1">
        <f t="shared" si="2"/>
        <v>2022</v>
      </c>
      <c r="E1203" s="1" t="str">
        <f t="shared" si="3"/>
        <v>At Current Prices</v>
      </c>
      <c r="F1203" s="3">
        <v>4164260.0</v>
      </c>
    </row>
    <row r="1204" ht="15.75" customHeight="1">
      <c r="A1204" s="1" t="str">
        <f t="array" ref="A1204">INDEX(Reference!$A$2:$A$18, INT((ROW()-2)/(18*3*2)) + 1)</f>
        <v>MIMAROPA Region</v>
      </c>
      <c r="B1204" s="2" t="str">
        <f t="array" ref="B1204">INDEX(Reference!$C$2:$C$19, MOD(ROW()-2, 18) + 1)</f>
        <v>....Public administration and defense; compulsory social activities</v>
      </c>
      <c r="C1204" s="1" t="str">
        <f t="shared" si="1"/>
        <v>Sub</v>
      </c>
      <c r="D1204" s="1">
        <f t="shared" si="2"/>
        <v>2022</v>
      </c>
      <c r="E1204" s="1" t="str">
        <f t="shared" si="3"/>
        <v>At Current Prices</v>
      </c>
      <c r="F1204" s="3">
        <v>1.4972941E7</v>
      </c>
    </row>
    <row r="1205" ht="15.75" customHeight="1">
      <c r="A1205" s="1" t="str">
        <f t="array" ref="A1205">INDEX(Reference!$A$2:$A$18, INT((ROW()-2)/(18*3*2)) + 1)</f>
        <v>MIMAROPA Region</v>
      </c>
      <c r="B1205" s="2" t="str">
        <f t="array" ref="B1205">INDEX(Reference!$C$2:$C$19, MOD(ROW()-2, 18) + 1)</f>
        <v>....Education</v>
      </c>
      <c r="C1205" s="1" t="str">
        <f t="shared" si="1"/>
        <v>Sub</v>
      </c>
      <c r="D1205" s="1">
        <f t="shared" si="2"/>
        <v>2022</v>
      </c>
      <c r="E1205" s="1" t="str">
        <f t="shared" si="3"/>
        <v>At Current Prices</v>
      </c>
      <c r="F1205" s="3">
        <v>2.42575E7</v>
      </c>
    </row>
    <row r="1206" ht="15.75" customHeight="1">
      <c r="A1206" s="1" t="str">
        <f t="array" ref="A1206">INDEX(Reference!$A$2:$A$18, INT((ROW()-2)/(18*3*2)) + 1)</f>
        <v>MIMAROPA Region</v>
      </c>
      <c r="B1206" s="2" t="str">
        <f t="array" ref="B1206">INDEX(Reference!$C$2:$C$19, MOD(ROW()-2, 18) + 1)</f>
        <v>....Human health and social work activities</v>
      </c>
      <c r="C1206" s="1" t="str">
        <f t="shared" si="1"/>
        <v>Sub</v>
      </c>
      <c r="D1206" s="1">
        <f t="shared" si="2"/>
        <v>2022</v>
      </c>
      <c r="E1206" s="1" t="str">
        <f t="shared" si="3"/>
        <v>At Current Prices</v>
      </c>
      <c r="F1206" s="3">
        <v>8328441.0</v>
      </c>
    </row>
    <row r="1207" ht="15.75" customHeight="1">
      <c r="A1207" s="1" t="str">
        <f t="array" ref="A1207">INDEX(Reference!$A$2:$A$18, INT((ROW()-2)/(18*3*2)) + 1)</f>
        <v>MIMAROPA Region</v>
      </c>
      <c r="B1207" s="2" t="str">
        <f t="array" ref="B1207">INDEX(Reference!$C$2:$C$19, MOD(ROW()-2, 18) + 1)</f>
        <v>....Other services</v>
      </c>
      <c r="C1207" s="1" t="str">
        <f t="shared" si="1"/>
        <v>Sub</v>
      </c>
      <c r="D1207" s="1">
        <f t="shared" si="2"/>
        <v>2022</v>
      </c>
      <c r="E1207" s="1" t="str">
        <f t="shared" si="3"/>
        <v>At Current Prices</v>
      </c>
      <c r="F1207" s="3">
        <v>1.3518057E7</v>
      </c>
    </row>
    <row r="1208" ht="15.75" customHeight="1">
      <c r="A1208" s="1" t="str">
        <f t="array" ref="A1208">INDEX(Reference!$A$2:$A$18, INT((ROW()-2)/(18*3*2)) + 1)</f>
        <v>MIMAROPA Region</v>
      </c>
      <c r="B1208" s="2" t="str">
        <f t="array" ref="B1208">INDEX(Reference!$C$2:$C$19, MOD(ROW()-2, 18) + 1)</f>
        <v>..Agriculture, forestry, and fishing</v>
      </c>
      <c r="C1208" s="1" t="str">
        <f t="shared" si="1"/>
        <v>Main</v>
      </c>
      <c r="D1208" s="1">
        <f t="shared" si="2"/>
        <v>2023</v>
      </c>
      <c r="E1208" s="1" t="str">
        <f t="shared" si="3"/>
        <v>At Current Prices</v>
      </c>
      <c r="F1208" s="3">
        <v>8.156756E7</v>
      </c>
    </row>
    <row r="1209" ht="15.75" customHeight="1">
      <c r="A1209" s="1" t="str">
        <f t="array" ref="A1209">INDEX(Reference!$A$2:$A$18, INT((ROW()-2)/(18*3*2)) + 1)</f>
        <v>MIMAROPA Region</v>
      </c>
      <c r="B1209" s="2" t="str">
        <f t="array" ref="B1209">INDEX(Reference!$C$2:$C$19, MOD(ROW()-2, 18) + 1)</f>
        <v>..Industry</v>
      </c>
      <c r="C1209" s="1" t="str">
        <f t="shared" si="1"/>
        <v>Main</v>
      </c>
      <c r="D1209" s="1">
        <f t="shared" si="2"/>
        <v>2023</v>
      </c>
      <c r="E1209" s="1" t="str">
        <f t="shared" si="3"/>
        <v>At Current Prices</v>
      </c>
      <c r="F1209" s="3">
        <v>1.37348968E8</v>
      </c>
    </row>
    <row r="1210" ht="15.75" customHeight="1">
      <c r="A1210" s="1" t="str">
        <f t="array" ref="A1210">INDEX(Reference!$A$2:$A$18, INT((ROW()-2)/(18*3*2)) + 1)</f>
        <v>MIMAROPA Region</v>
      </c>
      <c r="B1210" s="2" t="str">
        <f t="array" ref="B1210">INDEX(Reference!$C$2:$C$19, MOD(ROW()-2, 18) + 1)</f>
        <v>....Mining and quarrying</v>
      </c>
      <c r="C1210" s="1" t="str">
        <f t="shared" si="1"/>
        <v>Sub</v>
      </c>
      <c r="D1210" s="1">
        <f t="shared" si="2"/>
        <v>2023</v>
      </c>
      <c r="E1210" s="1" t="str">
        <f t="shared" si="3"/>
        <v>At Current Prices</v>
      </c>
      <c r="F1210" s="3">
        <v>2.6943722E7</v>
      </c>
    </row>
    <row r="1211" ht="15.75" customHeight="1">
      <c r="A1211" s="1" t="str">
        <f t="array" ref="A1211">INDEX(Reference!$A$2:$A$18, INT((ROW()-2)/(18*3*2)) + 1)</f>
        <v>MIMAROPA Region</v>
      </c>
      <c r="B1211" s="2" t="str">
        <f t="array" ref="B1211">INDEX(Reference!$C$2:$C$19, MOD(ROW()-2, 18) + 1)</f>
        <v>....Manufacturing</v>
      </c>
      <c r="C1211" s="1" t="str">
        <f t="shared" si="1"/>
        <v>Sub</v>
      </c>
      <c r="D1211" s="1">
        <f t="shared" si="2"/>
        <v>2023</v>
      </c>
      <c r="E1211" s="1" t="str">
        <f t="shared" si="3"/>
        <v>At Current Prices</v>
      </c>
      <c r="F1211" s="3">
        <v>4.5870169E7</v>
      </c>
    </row>
    <row r="1212" ht="15.75" customHeight="1">
      <c r="A1212" s="1" t="str">
        <f t="array" ref="A1212">INDEX(Reference!$A$2:$A$18, INT((ROW()-2)/(18*3*2)) + 1)</f>
        <v>MIMAROPA Region</v>
      </c>
      <c r="B1212" s="2" t="str">
        <f t="array" ref="B1212">INDEX(Reference!$C$2:$C$19, MOD(ROW()-2, 18) + 1)</f>
        <v>....Electricity, steam, water and waste management</v>
      </c>
      <c r="C1212" s="1" t="str">
        <f t="shared" si="1"/>
        <v>Sub</v>
      </c>
      <c r="D1212" s="1">
        <f t="shared" si="2"/>
        <v>2023</v>
      </c>
      <c r="E1212" s="1" t="str">
        <f t="shared" si="3"/>
        <v>At Current Prices</v>
      </c>
      <c r="F1212" s="3">
        <v>2.2015765E7</v>
      </c>
    </row>
    <row r="1213" ht="15.75" customHeight="1">
      <c r="A1213" s="1" t="str">
        <f t="array" ref="A1213">INDEX(Reference!$A$2:$A$18, INT((ROW()-2)/(18*3*2)) + 1)</f>
        <v>MIMAROPA Region</v>
      </c>
      <c r="B1213" s="2" t="str">
        <f t="array" ref="B1213">INDEX(Reference!$C$2:$C$19, MOD(ROW()-2, 18) + 1)</f>
        <v>....Construction</v>
      </c>
      <c r="C1213" s="1" t="str">
        <f t="shared" si="1"/>
        <v>Sub</v>
      </c>
      <c r="D1213" s="1">
        <f t="shared" si="2"/>
        <v>2023</v>
      </c>
      <c r="E1213" s="1" t="str">
        <f t="shared" si="3"/>
        <v>At Current Prices</v>
      </c>
      <c r="F1213" s="3">
        <v>4.2519311E7</v>
      </c>
    </row>
    <row r="1214" ht="15.75" customHeight="1">
      <c r="A1214" s="1" t="str">
        <f t="array" ref="A1214">INDEX(Reference!$A$2:$A$18, INT((ROW()-2)/(18*3*2)) + 1)</f>
        <v>MIMAROPA Region</v>
      </c>
      <c r="B1214" s="2" t="str">
        <f t="array" ref="B1214">INDEX(Reference!$C$2:$C$19, MOD(ROW()-2, 18) + 1)</f>
        <v>..Services</v>
      </c>
      <c r="C1214" s="1" t="str">
        <f t="shared" si="1"/>
        <v>Main</v>
      </c>
      <c r="D1214" s="1">
        <f t="shared" si="2"/>
        <v>2023</v>
      </c>
      <c r="E1214" s="1" t="str">
        <f t="shared" si="3"/>
        <v>At Current Prices</v>
      </c>
      <c r="F1214" s="3">
        <v>2.5208489E8</v>
      </c>
    </row>
    <row r="1215" ht="15.75" customHeight="1">
      <c r="A1215" s="1" t="str">
        <f t="array" ref="A1215">INDEX(Reference!$A$2:$A$18, INT((ROW()-2)/(18*3*2)) + 1)</f>
        <v>MIMAROPA Region</v>
      </c>
      <c r="B1215" s="2" t="str">
        <f t="array" ref="B1215">INDEX(Reference!$C$2:$C$19, MOD(ROW()-2, 18) + 1)</f>
        <v>....Wholesale and retail trade; repair of motor vehicles and motorcycles</v>
      </c>
      <c r="C1215" s="1" t="str">
        <f t="shared" si="1"/>
        <v>Sub</v>
      </c>
      <c r="D1215" s="1">
        <f t="shared" si="2"/>
        <v>2023</v>
      </c>
      <c r="E1215" s="1" t="str">
        <f t="shared" si="3"/>
        <v>At Current Prices</v>
      </c>
      <c r="F1215" s="3">
        <v>6.7961758E7</v>
      </c>
    </row>
    <row r="1216" ht="15.75" customHeight="1">
      <c r="A1216" s="1" t="str">
        <f t="array" ref="A1216">INDEX(Reference!$A$2:$A$18, INT((ROW()-2)/(18*3*2)) + 1)</f>
        <v>MIMAROPA Region</v>
      </c>
      <c r="B1216" s="2" t="str">
        <f t="array" ref="B1216">INDEX(Reference!$C$2:$C$19, MOD(ROW()-2, 18) + 1)</f>
        <v>....Transportation and storage</v>
      </c>
      <c r="C1216" s="1" t="str">
        <f t="shared" si="1"/>
        <v>Sub</v>
      </c>
      <c r="D1216" s="1">
        <f t="shared" si="2"/>
        <v>2023</v>
      </c>
      <c r="E1216" s="1" t="str">
        <f t="shared" si="3"/>
        <v>At Current Prices</v>
      </c>
      <c r="F1216" s="3">
        <v>3.5484455E7</v>
      </c>
    </row>
    <row r="1217" ht="15.75" customHeight="1">
      <c r="A1217" s="1" t="str">
        <f t="array" ref="A1217">INDEX(Reference!$A$2:$A$18, INT((ROW()-2)/(18*3*2)) + 1)</f>
        <v>MIMAROPA Region</v>
      </c>
      <c r="B1217" s="2" t="str">
        <f t="array" ref="B1217">INDEX(Reference!$C$2:$C$19, MOD(ROW()-2, 18) + 1)</f>
        <v>....Accommodation and food service activities</v>
      </c>
      <c r="C1217" s="1" t="str">
        <f t="shared" si="1"/>
        <v>Sub</v>
      </c>
      <c r="D1217" s="1">
        <f t="shared" si="2"/>
        <v>2023</v>
      </c>
      <c r="E1217" s="1" t="str">
        <f t="shared" si="3"/>
        <v>At Current Prices</v>
      </c>
      <c r="F1217" s="3">
        <v>1.8439745E7</v>
      </c>
    </row>
    <row r="1218" ht="15.75" customHeight="1">
      <c r="A1218" s="1" t="str">
        <f t="array" ref="A1218">INDEX(Reference!$A$2:$A$18, INT((ROW()-2)/(18*3*2)) + 1)</f>
        <v>MIMAROPA Region</v>
      </c>
      <c r="B1218" s="2" t="str">
        <f t="array" ref="B1218">INDEX(Reference!$C$2:$C$19, MOD(ROW()-2, 18) + 1)</f>
        <v>....Information and communication</v>
      </c>
      <c r="C1218" s="1" t="str">
        <f t="shared" si="1"/>
        <v>Sub</v>
      </c>
      <c r="D1218" s="1">
        <f t="shared" si="2"/>
        <v>2023</v>
      </c>
      <c r="E1218" s="1" t="str">
        <f t="shared" si="3"/>
        <v>At Current Prices</v>
      </c>
      <c r="F1218" s="3">
        <v>1.5392375E7</v>
      </c>
    </row>
    <row r="1219" ht="15.75" customHeight="1">
      <c r="A1219" s="1" t="str">
        <f t="array" ref="A1219">INDEX(Reference!$A$2:$A$18, INT((ROW()-2)/(18*3*2)) + 1)</f>
        <v>MIMAROPA Region</v>
      </c>
      <c r="B1219" s="2" t="str">
        <f t="array" ref="B1219">INDEX(Reference!$C$2:$C$19, MOD(ROW()-2, 18) + 1)</f>
        <v>....Financial and insurance activities</v>
      </c>
      <c r="C1219" s="1" t="str">
        <f t="shared" si="1"/>
        <v>Sub</v>
      </c>
      <c r="D1219" s="1">
        <f t="shared" si="2"/>
        <v>2023</v>
      </c>
      <c r="E1219" s="1" t="str">
        <f t="shared" si="3"/>
        <v>At Current Prices</v>
      </c>
      <c r="F1219" s="3">
        <v>2.6345654E7</v>
      </c>
    </row>
    <row r="1220" ht="15.75" customHeight="1">
      <c r="A1220" s="1" t="str">
        <f t="array" ref="A1220">INDEX(Reference!$A$2:$A$18, INT((ROW()-2)/(18*3*2)) + 1)</f>
        <v>MIMAROPA Region</v>
      </c>
      <c r="B1220" s="2" t="str">
        <f t="array" ref="B1220">INDEX(Reference!$C$2:$C$19, MOD(ROW()-2, 18) + 1)</f>
        <v>....Real estate and ownership of dwellings</v>
      </c>
      <c r="C1220" s="1" t="str">
        <f t="shared" si="1"/>
        <v>Sub</v>
      </c>
      <c r="D1220" s="1">
        <f t="shared" si="2"/>
        <v>2023</v>
      </c>
      <c r="E1220" s="1" t="str">
        <f t="shared" si="3"/>
        <v>At Current Prices</v>
      </c>
      <c r="F1220" s="3">
        <v>1.3371801E7</v>
      </c>
    </row>
    <row r="1221" ht="15.75" customHeight="1">
      <c r="A1221" s="1" t="str">
        <f t="array" ref="A1221">INDEX(Reference!$A$2:$A$18, INT((ROW()-2)/(18*3*2)) + 1)</f>
        <v>MIMAROPA Region</v>
      </c>
      <c r="B1221" s="2" t="str">
        <f t="array" ref="B1221">INDEX(Reference!$C$2:$C$19, MOD(ROW()-2, 18) + 1)</f>
        <v>....Professional and business services</v>
      </c>
      <c r="C1221" s="1" t="str">
        <f t="shared" si="1"/>
        <v>Sub</v>
      </c>
      <c r="D1221" s="1">
        <f t="shared" si="2"/>
        <v>2023</v>
      </c>
      <c r="E1221" s="1" t="str">
        <f t="shared" si="3"/>
        <v>At Current Prices</v>
      </c>
      <c r="F1221" s="3">
        <v>4637928.0</v>
      </c>
    </row>
    <row r="1222" ht="15.75" customHeight="1">
      <c r="A1222" s="1" t="str">
        <f t="array" ref="A1222">INDEX(Reference!$A$2:$A$18, INT((ROW()-2)/(18*3*2)) + 1)</f>
        <v>MIMAROPA Region</v>
      </c>
      <c r="B1222" s="2" t="str">
        <f t="array" ref="B1222">INDEX(Reference!$C$2:$C$19, MOD(ROW()-2, 18) + 1)</f>
        <v>....Public administration and defense; compulsory social activities</v>
      </c>
      <c r="C1222" s="1" t="str">
        <f t="shared" si="1"/>
        <v>Sub</v>
      </c>
      <c r="D1222" s="1">
        <f t="shared" si="2"/>
        <v>2023</v>
      </c>
      <c r="E1222" s="1" t="str">
        <f t="shared" si="3"/>
        <v>At Current Prices</v>
      </c>
      <c r="F1222" s="3">
        <v>1.7725338E7</v>
      </c>
    </row>
    <row r="1223" ht="15.75" customHeight="1">
      <c r="A1223" s="1" t="str">
        <f t="array" ref="A1223">INDEX(Reference!$A$2:$A$18, INT((ROW()-2)/(18*3*2)) + 1)</f>
        <v>MIMAROPA Region</v>
      </c>
      <c r="B1223" s="2" t="str">
        <f t="array" ref="B1223">INDEX(Reference!$C$2:$C$19, MOD(ROW()-2, 18) + 1)</f>
        <v>....Education</v>
      </c>
      <c r="C1223" s="1" t="str">
        <f t="shared" si="1"/>
        <v>Sub</v>
      </c>
      <c r="D1223" s="1">
        <f t="shared" si="2"/>
        <v>2023</v>
      </c>
      <c r="E1223" s="1" t="str">
        <f t="shared" si="3"/>
        <v>At Current Prices</v>
      </c>
      <c r="F1223" s="3">
        <v>2.6771475E7</v>
      </c>
    </row>
    <row r="1224" ht="15.75" customHeight="1">
      <c r="A1224" s="1" t="str">
        <f t="array" ref="A1224">INDEX(Reference!$A$2:$A$18, INT((ROW()-2)/(18*3*2)) + 1)</f>
        <v>MIMAROPA Region</v>
      </c>
      <c r="B1224" s="2" t="str">
        <f t="array" ref="B1224">INDEX(Reference!$C$2:$C$19, MOD(ROW()-2, 18) + 1)</f>
        <v>....Human health and social work activities</v>
      </c>
      <c r="C1224" s="1" t="str">
        <f t="shared" si="1"/>
        <v>Sub</v>
      </c>
      <c r="D1224" s="1">
        <f t="shared" si="2"/>
        <v>2023</v>
      </c>
      <c r="E1224" s="1" t="str">
        <f t="shared" si="3"/>
        <v>At Current Prices</v>
      </c>
      <c r="F1224" s="3">
        <v>9042834.0</v>
      </c>
    </row>
    <row r="1225" ht="15.75" customHeight="1">
      <c r="A1225" s="1" t="str">
        <f t="array" ref="A1225">INDEX(Reference!$A$2:$A$18, INT((ROW()-2)/(18*3*2)) + 1)</f>
        <v>MIMAROPA Region</v>
      </c>
      <c r="B1225" s="2" t="str">
        <f t="array" ref="B1225">INDEX(Reference!$C$2:$C$19, MOD(ROW()-2, 18) + 1)</f>
        <v>....Other services</v>
      </c>
      <c r="C1225" s="1" t="str">
        <f t="shared" si="1"/>
        <v>Sub</v>
      </c>
      <c r="D1225" s="1">
        <f t="shared" si="2"/>
        <v>2023</v>
      </c>
      <c r="E1225" s="1" t="str">
        <f t="shared" si="3"/>
        <v>At Current Prices</v>
      </c>
      <c r="F1225" s="3">
        <v>1.6911526E7</v>
      </c>
    </row>
    <row r="1226" ht="15.75" customHeight="1">
      <c r="A1226" s="1" t="str">
        <f t="array" ref="A1226">INDEX(Reference!$A$2:$A$18, INT((ROW()-2)/(18*3*2)) + 1)</f>
        <v>MIMAROPA Region</v>
      </c>
      <c r="B1226" s="2" t="str">
        <f t="array" ref="B1226">INDEX(Reference!$C$2:$C$19, MOD(ROW()-2, 18) + 1)</f>
        <v>..Agriculture, forestry, and fishing</v>
      </c>
      <c r="C1226" s="1" t="str">
        <f t="shared" si="1"/>
        <v>Main</v>
      </c>
      <c r="D1226" s="1">
        <f t="shared" si="2"/>
        <v>2024</v>
      </c>
      <c r="E1226" s="1" t="str">
        <f t="shared" si="3"/>
        <v>At Current Prices</v>
      </c>
      <c r="F1226" s="3">
        <v>8.3790969E7</v>
      </c>
    </row>
    <row r="1227" ht="15.75" customHeight="1">
      <c r="A1227" s="1" t="str">
        <f t="array" ref="A1227">INDEX(Reference!$A$2:$A$18, INT((ROW()-2)/(18*3*2)) + 1)</f>
        <v>MIMAROPA Region</v>
      </c>
      <c r="B1227" s="2" t="str">
        <f t="array" ref="B1227">INDEX(Reference!$C$2:$C$19, MOD(ROW()-2, 18) + 1)</f>
        <v>..Industry</v>
      </c>
      <c r="C1227" s="1" t="str">
        <f t="shared" si="1"/>
        <v>Main</v>
      </c>
      <c r="D1227" s="1">
        <f t="shared" si="2"/>
        <v>2024</v>
      </c>
      <c r="E1227" s="1" t="str">
        <f t="shared" si="3"/>
        <v>At Current Prices</v>
      </c>
      <c r="F1227" s="3">
        <v>1.46274416E8</v>
      </c>
    </row>
    <row r="1228" ht="15.75" customHeight="1">
      <c r="A1228" s="1" t="str">
        <f t="array" ref="A1228">INDEX(Reference!$A$2:$A$18, INT((ROW()-2)/(18*3*2)) + 1)</f>
        <v>MIMAROPA Region</v>
      </c>
      <c r="B1228" s="2" t="str">
        <f t="array" ref="B1228">INDEX(Reference!$C$2:$C$19, MOD(ROW()-2, 18) + 1)</f>
        <v>....Mining and quarrying</v>
      </c>
      <c r="C1228" s="1" t="str">
        <f t="shared" si="1"/>
        <v>Sub</v>
      </c>
      <c r="D1228" s="1">
        <f t="shared" si="2"/>
        <v>2024</v>
      </c>
      <c r="E1228" s="1" t="str">
        <f t="shared" si="3"/>
        <v>At Current Prices</v>
      </c>
      <c r="F1228" s="3">
        <v>2.2995398E7</v>
      </c>
    </row>
    <row r="1229" ht="15.75" customHeight="1">
      <c r="A1229" s="1" t="str">
        <f t="array" ref="A1229">INDEX(Reference!$A$2:$A$18, INT((ROW()-2)/(18*3*2)) + 1)</f>
        <v>MIMAROPA Region</v>
      </c>
      <c r="B1229" s="2" t="str">
        <f t="array" ref="B1229">INDEX(Reference!$C$2:$C$19, MOD(ROW()-2, 18) + 1)</f>
        <v>....Manufacturing</v>
      </c>
      <c r="C1229" s="1" t="str">
        <f t="shared" si="1"/>
        <v>Sub</v>
      </c>
      <c r="D1229" s="1">
        <f t="shared" si="2"/>
        <v>2024</v>
      </c>
      <c r="E1229" s="1" t="str">
        <f t="shared" si="3"/>
        <v>At Current Prices</v>
      </c>
      <c r="F1229" s="3">
        <v>4.6680265E7</v>
      </c>
    </row>
    <row r="1230" ht="15.75" customHeight="1">
      <c r="A1230" s="1" t="str">
        <f t="array" ref="A1230">INDEX(Reference!$A$2:$A$18, INT((ROW()-2)/(18*3*2)) + 1)</f>
        <v>MIMAROPA Region</v>
      </c>
      <c r="B1230" s="2" t="str">
        <f t="array" ref="B1230">INDEX(Reference!$C$2:$C$19, MOD(ROW()-2, 18) + 1)</f>
        <v>....Electricity, steam, water and waste management</v>
      </c>
      <c r="C1230" s="1" t="str">
        <f t="shared" si="1"/>
        <v>Sub</v>
      </c>
      <c r="D1230" s="1">
        <f t="shared" si="2"/>
        <v>2024</v>
      </c>
      <c r="E1230" s="1" t="str">
        <f t="shared" si="3"/>
        <v>At Current Prices</v>
      </c>
      <c r="F1230" s="3">
        <v>2.5579959E7</v>
      </c>
    </row>
    <row r="1231" ht="15.75" customHeight="1">
      <c r="A1231" s="1" t="str">
        <f t="array" ref="A1231">INDEX(Reference!$A$2:$A$18, INT((ROW()-2)/(18*3*2)) + 1)</f>
        <v>MIMAROPA Region</v>
      </c>
      <c r="B1231" s="2" t="str">
        <f t="array" ref="B1231">INDEX(Reference!$C$2:$C$19, MOD(ROW()-2, 18) + 1)</f>
        <v>....Construction</v>
      </c>
      <c r="C1231" s="1" t="str">
        <f t="shared" si="1"/>
        <v>Sub</v>
      </c>
      <c r="D1231" s="1">
        <f t="shared" si="2"/>
        <v>2024</v>
      </c>
      <c r="E1231" s="1" t="str">
        <f t="shared" si="3"/>
        <v>At Current Prices</v>
      </c>
      <c r="F1231" s="3">
        <v>5.1018794E7</v>
      </c>
    </row>
    <row r="1232" ht="15.75" customHeight="1">
      <c r="A1232" s="1" t="str">
        <f t="array" ref="A1232">INDEX(Reference!$A$2:$A$18, INT((ROW()-2)/(18*3*2)) + 1)</f>
        <v>MIMAROPA Region</v>
      </c>
      <c r="B1232" s="2" t="str">
        <f t="array" ref="B1232">INDEX(Reference!$C$2:$C$19, MOD(ROW()-2, 18) + 1)</f>
        <v>..Services</v>
      </c>
      <c r="C1232" s="1" t="str">
        <f t="shared" si="1"/>
        <v>Main</v>
      </c>
      <c r="D1232" s="1">
        <f t="shared" si="2"/>
        <v>2024</v>
      </c>
      <c r="E1232" s="1" t="str">
        <f t="shared" si="3"/>
        <v>At Current Prices</v>
      </c>
      <c r="F1232" s="3">
        <v>2.7943575E8</v>
      </c>
    </row>
    <row r="1233" ht="15.75" customHeight="1">
      <c r="A1233" s="1" t="str">
        <f t="array" ref="A1233">INDEX(Reference!$A$2:$A$18, INT((ROW()-2)/(18*3*2)) + 1)</f>
        <v>MIMAROPA Region</v>
      </c>
      <c r="B1233" s="2" t="str">
        <f t="array" ref="B1233">INDEX(Reference!$C$2:$C$19, MOD(ROW()-2, 18) + 1)</f>
        <v>....Wholesale and retail trade; repair of motor vehicles and motorcycles</v>
      </c>
      <c r="C1233" s="1" t="str">
        <f t="shared" si="1"/>
        <v>Sub</v>
      </c>
      <c r="D1233" s="1">
        <f t="shared" si="2"/>
        <v>2024</v>
      </c>
      <c r="E1233" s="1" t="str">
        <f t="shared" si="3"/>
        <v>At Current Prices</v>
      </c>
      <c r="F1233" s="3">
        <v>7.5388026E7</v>
      </c>
    </row>
    <row r="1234" ht="15.75" customHeight="1">
      <c r="A1234" s="1" t="str">
        <f t="array" ref="A1234">INDEX(Reference!$A$2:$A$18, INT((ROW()-2)/(18*3*2)) + 1)</f>
        <v>MIMAROPA Region</v>
      </c>
      <c r="B1234" s="2" t="str">
        <f t="array" ref="B1234">INDEX(Reference!$C$2:$C$19, MOD(ROW()-2, 18) + 1)</f>
        <v>....Transportation and storage</v>
      </c>
      <c r="C1234" s="1" t="str">
        <f t="shared" si="1"/>
        <v>Sub</v>
      </c>
      <c r="D1234" s="1">
        <f t="shared" si="2"/>
        <v>2024</v>
      </c>
      <c r="E1234" s="1" t="str">
        <f t="shared" si="3"/>
        <v>At Current Prices</v>
      </c>
      <c r="F1234" s="3">
        <v>3.9908541E7</v>
      </c>
    </row>
    <row r="1235" ht="15.75" customHeight="1">
      <c r="A1235" s="1" t="str">
        <f t="array" ref="A1235">INDEX(Reference!$A$2:$A$18, INT((ROW()-2)/(18*3*2)) + 1)</f>
        <v>MIMAROPA Region</v>
      </c>
      <c r="B1235" s="2" t="str">
        <f t="array" ref="B1235">INDEX(Reference!$C$2:$C$19, MOD(ROW()-2, 18) + 1)</f>
        <v>....Accommodation and food service activities</v>
      </c>
      <c r="C1235" s="1" t="str">
        <f t="shared" si="1"/>
        <v>Sub</v>
      </c>
      <c r="D1235" s="1">
        <f t="shared" si="2"/>
        <v>2024</v>
      </c>
      <c r="E1235" s="1" t="str">
        <f t="shared" si="3"/>
        <v>At Current Prices</v>
      </c>
      <c r="F1235" s="3">
        <v>2.1509104E7</v>
      </c>
    </row>
    <row r="1236" ht="15.75" customHeight="1">
      <c r="A1236" s="1" t="str">
        <f t="array" ref="A1236">INDEX(Reference!$A$2:$A$18, INT((ROW()-2)/(18*3*2)) + 1)</f>
        <v>MIMAROPA Region</v>
      </c>
      <c r="B1236" s="2" t="str">
        <f t="array" ref="B1236">INDEX(Reference!$C$2:$C$19, MOD(ROW()-2, 18) + 1)</f>
        <v>....Information and communication</v>
      </c>
      <c r="C1236" s="1" t="str">
        <f t="shared" si="1"/>
        <v>Sub</v>
      </c>
      <c r="D1236" s="1">
        <f t="shared" si="2"/>
        <v>2024</v>
      </c>
      <c r="E1236" s="1" t="str">
        <f t="shared" si="3"/>
        <v>At Current Prices</v>
      </c>
      <c r="F1236" s="3">
        <v>1.6156529E7</v>
      </c>
    </row>
    <row r="1237" ht="15.75" customHeight="1">
      <c r="A1237" s="1" t="str">
        <f t="array" ref="A1237">INDEX(Reference!$A$2:$A$18, INT((ROW()-2)/(18*3*2)) + 1)</f>
        <v>MIMAROPA Region</v>
      </c>
      <c r="B1237" s="2" t="str">
        <f t="array" ref="B1237">INDEX(Reference!$C$2:$C$19, MOD(ROW()-2, 18) + 1)</f>
        <v>....Financial and insurance activities</v>
      </c>
      <c r="C1237" s="1" t="str">
        <f t="shared" si="1"/>
        <v>Sub</v>
      </c>
      <c r="D1237" s="1">
        <f t="shared" si="2"/>
        <v>2024</v>
      </c>
      <c r="E1237" s="1" t="str">
        <f t="shared" si="3"/>
        <v>At Current Prices</v>
      </c>
      <c r="F1237" s="3">
        <v>3.0043825E7</v>
      </c>
    </row>
    <row r="1238" ht="15.75" customHeight="1">
      <c r="A1238" s="1" t="str">
        <f t="array" ref="A1238">INDEX(Reference!$A$2:$A$18, INT((ROW()-2)/(18*3*2)) + 1)</f>
        <v>MIMAROPA Region</v>
      </c>
      <c r="B1238" s="2" t="str">
        <f t="array" ref="B1238">INDEX(Reference!$C$2:$C$19, MOD(ROW()-2, 18) + 1)</f>
        <v>....Real estate and ownership of dwellings</v>
      </c>
      <c r="C1238" s="1" t="str">
        <f t="shared" si="1"/>
        <v>Sub</v>
      </c>
      <c r="D1238" s="1">
        <f t="shared" si="2"/>
        <v>2024</v>
      </c>
      <c r="E1238" s="1" t="str">
        <f t="shared" si="3"/>
        <v>At Current Prices</v>
      </c>
      <c r="F1238" s="3">
        <v>1.421888E7</v>
      </c>
    </row>
    <row r="1239" ht="15.75" customHeight="1">
      <c r="A1239" s="1" t="str">
        <f t="array" ref="A1239">INDEX(Reference!$A$2:$A$18, INT((ROW()-2)/(18*3*2)) + 1)</f>
        <v>MIMAROPA Region</v>
      </c>
      <c r="B1239" s="2" t="str">
        <f t="array" ref="B1239">INDEX(Reference!$C$2:$C$19, MOD(ROW()-2, 18) + 1)</f>
        <v>....Professional and business services</v>
      </c>
      <c r="C1239" s="1" t="str">
        <f t="shared" si="1"/>
        <v>Sub</v>
      </c>
      <c r="D1239" s="1">
        <f t="shared" si="2"/>
        <v>2024</v>
      </c>
      <c r="E1239" s="1" t="str">
        <f t="shared" si="3"/>
        <v>At Current Prices</v>
      </c>
      <c r="F1239" s="3">
        <v>5426387.0</v>
      </c>
    </row>
    <row r="1240" ht="15.75" customHeight="1">
      <c r="A1240" s="1" t="str">
        <f t="array" ref="A1240">INDEX(Reference!$A$2:$A$18, INT((ROW()-2)/(18*3*2)) + 1)</f>
        <v>MIMAROPA Region</v>
      </c>
      <c r="B1240" s="2" t="str">
        <f t="array" ref="B1240">INDEX(Reference!$C$2:$C$19, MOD(ROW()-2, 18) + 1)</f>
        <v>....Public administration and defense; compulsory social activities</v>
      </c>
      <c r="C1240" s="1" t="str">
        <f t="shared" si="1"/>
        <v>Sub</v>
      </c>
      <c r="D1240" s="1">
        <f t="shared" si="2"/>
        <v>2024</v>
      </c>
      <c r="E1240" s="1" t="str">
        <f t="shared" si="3"/>
        <v>At Current Prices</v>
      </c>
      <c r="F1240" s="3">
        <v>1.8818786E7</v>
      </c>
    </row>
    <row r="1241" ht="15.75" customHeight="1">
      <c r="A1241" s="1" t="str">
        <f t="array" ref="A1241">INDEX(Reference!$A$2:$A$18, INT((ROW()-2)/(18*3*2)) + 1)</f>
        <v>MIMAROPA Region</v>
      </c>
      <c r="B1241" s="2" t="str">
        <f t="array" ref="B1241">INDEX(Reference!$C$2:$C$19, MOD(ROW()-2, 18) + 1)</f>
        <v>....Education</v>
      </c>
      <c r="C1241" s="1" t="str">
        <f t="shared" si="1"/>
        <v>Sub</v>
      </c>
      <c r="D1241" s="1">
        <f t="shared" si="2"/>
        <v>2024</v>
      </c>
      <c r="E1241" s="1" t="str">
        <f t="shared" si="3"/>
        <v>At Current Prices</v>
      </c>
      <c r="F1241" s="3">
        <v>2.8498108E7</v>
      </c>
    </row>
    <row r="1242" ht="15.75" customHeight="1">
      <c r="A1242" s="1" t="str">
        <f t="array" ref="A1242">INDEX(Reference!$A$2:$A$18, INT((ROW()-2)/(18*3*2)) + 1)</f>
        <v>MIMAROPA Region</v>
      </c>
      <c r="B1242" s="2" t="str">
        <f t="array" ref="B1242">INDEX(Reference!$C$2:$C$19, MOD(ROW()-2, 18) + 1)</f>
        <v>....Human health and social work activities</v>
      </c>
      <c r="C1242" s="1" t="str">
        <f t="shared" si="1"/>
        <v>Sub</v>
      </c>
      <c r="D1242" s="1">
        <f t="shared" si="2"/>
        <v>2024</v>
      </c>
      <c r="E1242" s="1" t="str">
        <f t="shared" si="3"/>
        <v>At Current Prices</v>
      </c>
      <c r="F1242" s="3">
        <v>1.0371962E7</v>
      </c>
    </row>
    <row r="1243" ht="15.75" customHeight="1">
      <c r="A1243" s="1" t="str">
        <f t="array" ref="A1243">INDEX(Reference!$A$2:$A$18, INT((ROW()-2)/(18*3*2)) + 1)</f>
        <v>MIMAROPA Region</v>
      </c>
      <c r="B1243" s="2" t="str">
        <f t="array" ref="B1243">INDEX(Reference!$C$2:$C$19, MOD(ROW()-2, 18) + 1)</f>
        <v>....Other services</v>
      </c>
      <c r="C1243" s="1" t="str">
        <f t="shared" si="1"/>
        <v>Sub</v>
      </c>
      <c r="D1243" s="1">
        <f t="shared" si="2"/>
        <v>2024</v>
      </c>
      <c r="E1243" s="1" t="str">
        <f t="shared" si="3"/>
        <v>At Current Prices</v>
      </c>
      <c r="F1243" s="3">
        <v>1.9095602E7</v>
      </c>
    </row>
    <row r="1244" ht="15.75" customHeight="1">
      <c r="A1244" s="1" t="str">
        <f t="array" ref="A1244">INDEX(Reference!$A$2:$A$18, INT((ROW()-2)/(18*3*2)) + 1)</f>
        <v>MIMAROPA Region</v>
      </c>
      <c r="B1244" s="2" t="str">
        <f t="array" ref="B1244">INDEX(Reference!$C$2:$C$19, MOD(ROW()-2, 18) + 1)</f>
        <v>..Agriculture, forestry, and fishing</v>
      </c>
      <c r="C1244" s="1" t="str">
        <f t="shared" si="1"/>
        <v>Main</v>
      </c>
      <c r="D1244" s="1">
        <f t="shared" si="2"/>
        <v>2022</v>
      </c>
      <c r="E1244" s="1" t="str">
        <f t="shared" si="3"/>
        <v>At Constant 2018 Prices</v>
      </c>
      <c r="F1244" s="3">
        <v>7.0678468E7</v>
      </c>
    </row>
    <row r="1245" ht="15.75" customHeight="1">
      <c r="A1245" s="1" t="str">
        <f t="array" ref="A1245">INDEX(Reference!$A$2:$A$18, INT((ROW()-2)/(18*3*2)) + 1)</f>
        <v>MIMAROPA Region</v>
      </c>
      <c r="B1245" s="2" t="str">
        <f t="array" ref="B1245">INDEX(Reference!$C$2:$C$19, MOD(ROW()-2, 18) + 1)</f>
        <v>..Industry</v>
      </c>
      <c r="C1245" s="1" t="str">
        <f t="shared" si="1"/>
        <v>Main</v>
      </c>
      <c r="D1245" s="1">
        <f t="shared" si="2"/>
        <v>2022</v>
      </c>
      <c r="E1245" s="1" t="str">
        <f t="shared" si="3"/>
        <v>At Constant 2018 Prices</v>
      </c>
      <c r="F1245" s="3">
        <v>1.33860065E8</v>
      </c>
    </row>
    <row r="1246" ht="15.75" customHeight="1">
      <c r="A1246" s="1" t="str">
        <f t="array" ref="A1246">INDEX(Reference!$A$2:$A$18, INT((ROW()-2)/(18*3*2)) + 1)</f>
        <v>MIMAROPA Region</v>
      </c>
      <c r="B1246" s="2" t="str">
        <f t="array" ref="B1246">INDEX(Reference!$C$2:$C$19, MOD(ROW()-2, 18) + 1)</f>
        <v>....Mining and quarrying</v>
      </c>
      <c r="C1246" s="1" t="str">
        <f t="shared" si="1"/>
        <v>Sub</v>
      </c>
      <c r="D1246" s="1">
        <f t="shared" si="2"/>
        <v>2022</v>
      </c>
      <c r="E1246" s="1" t="str">
        <f t="shared" si="3"/>
        <v>At Constant 2018 Prices</v>
      </c>
      <c r="F1246" s="3">
        <v>2.9392266E7</v>
      </c>
    </row>
    <row r="1247" ht="15.75" customHeight="1">
      <c r="A1247" s="1" t="str">
        <f t="array" ref="A1247">INDEX(Reference!$A$2:$A$18, INT((ROW()-2)/(18*3*2)) + 1)</f>
        <v>MIMAROPA Region</v>
      </c>
      <c r="B1247" s="2" t="str">
        <f t="array" ref="B1247">INDEX(Reference!$C$2:$C$19, MOD(ROW()-2, 18) + 1)</f>
        <v>....Manufacturing</v>
      </c>
      <c r="C1247" s="1" t="str">
        <f t="shared" si="1"/>
        <v>Sub</v>
      </c>
      <c r="D1247" s="1">
        <f t="shared" si="2"/>
        <v>2022</v>
      </c>
      <c r="E1247" s="1" t="str">
        <f t="shared" si="3"/>
        <v>At Constant 2018 Prices</v>
      </c>
      <c r="F1247" s="3">
        <v>5.6647942E7</v>
      </c>
    </row>
    <row r="1248" ht="15.75" customHeight="1">
      <c r="A1248" s="1" t="str">
        <f t="array" ref="A1248">INDEX(Reference!$A$2:$A$18, INT((ROW()-2)/(18*3*2)) + 1)</f>
        <v>MIMAROPA Region</v>
      </c>
      <c r="B1248" s="2" t="str">
        <f t="array" ref="B1248">INDEX(Reference!$C$2:$C$19, MOD(ROW()-2, 18) + 1)</f>
        <v>....Electricity, steam, water and waste management</v>
      </c>
      <c r="C1248" s="1" t="str">
        <f t="shared" si="1"/>
        <v>Sub</v>
      </c>
      <c r="D1248" s="1">
        <f t="shared" si="2"/>
        <v>2022</v>
      </c>
      <c r="E1248" s="1" t="str">
        <f t="shared" si="3"/>
        <v>At Constant 2018 Prices</v>
      </c>
      <c r="F1248" s="3">
        <v>1.7019368E7</v>
      </c>
    </row>
    <row r="1249" ht="15.75" customHeight="1">
      <c r="A1249" s="1" t="str">
        <f t="array" ref="A1249">INDEX(Reference!$A$2:$A$18, INT((ROW()-2)/(18*3*2)) + 1)</f>
        <v>MIMAROPA Region</v>
      </c>
      <c r="B1249" s="2" t="str">
        <f t="array" ref="B1249">INDEX(Reference!$C$2:$C$19, MOD(ROW()-2, 18) + 1)</f>
        <v>....Construction</v>
      </c>
      <c r="C1249" s="1" t="str">
        <f t="shared" si="1"/>
        <v>Sub</v>
      </c>
      <c r="D1249" s="1">
        <f t="shared" si="2"/>
        <v>2022</v>
      </c>
      <c r="E1249" s="1" t="str">
        <f t="shared" si="3"/>
        <v>At Constant 2018 Prices</v>
      </c>
      <c r="F1249" s="3">
        <v>3.0800489E7</v>
      </c>
    </row>
    <row r="1250" ht="15.75" customHeight="1">
      <c r="A1250" s="1" t="str">
        <f t="array" ref="A1250">INDEX(Reference!$A$2:$A$18, INT((ROW()-2)/(18*3*2)) + 1)</f>
        <v>MIMAROPA Region</v>
      </c>
      <c r="B1250" s="2" t="str">
        <f t="array" ref="B1250">INDEX(Reference!$C$2:$C$19, MOD(ROW()-2, 18) + 1)</f>
        <v>..Services</v>
      </c>
      <c r="C1250" s="1" t="str">
        <f t="shared" si="1"/>
        <v>Main</v>
      </c>
      <c r="D1250" s="1">
        <f t="shared" si="2"/>
        <v>2022</v>
      </c>
      <c r="E1250" s="1" t="str">
        <f t="shared" si="3"/>
        <v>At Constant 2018 Prices</v>
      </c>
      <c r="F1250" s="3">
        <v>1.88428735E8</v>
      </c>
    </row>
    <row r="1251" ht="15.75" customHeight="1">
      <c r="A1251" s="1" t="str">
        <f t="array" ref="A1251">INDEX(Reference!$A$2:$A$18, INT((ROW()-2)/(18*3*2)) + 1)</f>
        <v>MIMAROPA Region</v>
      </c>
      <c r="B1251" s="2" t="str">
        <f t="array" ref="B1251">INDEX(Reference!$C$2:$C$19, MOD(ROW()-2, 18) + 1)</f>
        <v>....Wholesale and retail trade; repair of motor vehicles and motorcycles</v>
      </c>
      <c r="C1251" s="1" t="str">
        <f t="shared" si="1"/>
        <v>Sub</v>
      </c>
      <c r="D1251" s="1">
        <f t="shared" si="2"/>
        <v>2022</v>
      </c>
      <c r="E1251" s="1" t="str">
        <f t="shared" si="3"/>
        <v>At Constant 2018 Prices</v>
      </c>
      <c r="F1251" s="3">
        <v>5.4309213E7</v>
      </c>
    </row>
    <row r="1252" ht="15.75" customHeight="1">
      <c r="A1252" s="1" t="str">
        <f t="array" ref="A1252">INDEX(Reference!$A$2:$A$18, INT((ROW()-2)/(18*3*2)) + 1)</f>
        <v>MIMAROPA Region</v>
      </c>
      <c r="B1252" s="2" t="str">
        <f t="array" ref="B1252">INDEX(Reference!$C$2:$C$19, MOD(ROW()-2, 18) + 1)</f>
        <v>....Transportation and storage</v>
      </c>
      <c r="C1252" s="1" t="str">
        <f t="shared" si="1"/>
        <v>Sub</v>
      </c>
      <c r="D1252" s="1">
        <f t="shared" si="2"/>
        <v>2022</v>
      </c>
      <c r="E1252" s="1" t="str">
        <f t="shared" si="3"/>
        <v>At Constant 2018 Prices</v>
      </c>
      <c r="F1252" s="3">
        <v>2.2622077E7</v>
      </c>
    </row>
    <row r="1253" ht="15.75" customHeight="1">
      <c r="A1253" s="1" t="str">
        <f t="array" ref="A1253">INDEX(Reference!$A$2:$A$18, INT((ROW()-2)/(18*3*2)) + 1)</f>
        <v>MIMAROPA Region</v>
      </c>
      <c r="B1253" s="2" t="str">
        <f t="array" ref="B1253">INDEX(Reference!$C$2:$C$19, MOD(ROW()-2, 18) + 1)</f>
        <v>....Accommodation and food service activities</v>
      </c>
      <c r="C1253" s="1" t="str">
        <f t="shared" si="1"/>
        <v>Sub</v>
      </c>
      <c r="D1253" s="1">
        <f t="shared" si="2"/>
        <v>2022</v>
      </c>
      <c r="E1253" s="1" t="str">
        <f t="shared" si="3"/>
        <v>At Constant 2018 Prices</v>
      </c>
      <c r="F1253" s="3">
        <v>1.0138871E7</v>
      </c>
    </row>
    <row r="1254" ht="15.75" customHeight="1">
      <c r="A1254" s="1" t="str">
        <f t="array" ref="A1254">INDEX(Reference!$A$2:$A$18, INT((ROW()-2)/(18*3*2)) + 1)</f>
        <v>MIMAROPA Region</v>
      </c>
      <c r="B1254" s="2" t="str">
        <f t="array" ref="B1254">INDEX(Reference!$C$2:$C$19, MOD(ROW()-2, 18) + 1)</f>
        <v>....Information and communication</v>
      </c>
      <c r="C1254" s="1" t="str">
        <f t="shared" si="1"/>
        <v>Sub</v>
      </c>
      <c r="D1254" s="1">
        <f t="shared" si="2"/>
        <v>2022</v>
      </c>
      <c r="E1254" s="1" t="str">
        <f t="shared" si="3"/>
        <v>At Constant 2018 Prices</v>
      </c>
      <c r="F1254" s="3">
        <v>1.4336832E7</v>
      </c>
    </row>
    <row r="1255" ht="15.75" customHeight="1">
      <c r="A1255" s="1" t="str">
        <f t="array" ref="A1255">INDEX(Reference!$A$2:$A$18, INT((ROW()-2)/(18*3*2)) + 1)</f>
        <v>MIMAROPA Region</v>
      </c>
      <c r="B1255" s="2" t="str">
        <f t="array" ref="B1255">INDEX(Reference!$C$2:$C$19, MOD(ROW()-2, 18) + 1)</f>
        <v>....Financial and insurance activities</v>
      </c>
      <c r="C1255" s="1" t="str">
        <f t="shared" si="1"/>
        <v>Sub</v>
      </c>
      <c r="D1255" s="1">
        <f t="shared" si="2"/>
        <v>2022</v>
      </c>
      <c r="E1255" s="1" t="str">
        <f t="shared" si="3"/>
        <v>At Constant 2018 Prices</v>
      </c>
      <c r="F1255" s="3">
        <v>1.940568E7</v>
      </c>
    </row>
    <row r="1256" ht="15.75" customHeight="1">
      <c r="A1256" s="1" t="str">
        <f t="array" ref="A1256">INDEX(Reference!$A$2:$A$18, INT((ROW()-2)/(18*3*2)) + 1)</f>
        <v>MIMAROPA Region</v>
      </c>
      <c r="B1256" s="2" t="str">
        <f t="array" ref="B1256">INDEX(Reference!$C$2:$C$19, MOD(ROW()-2, 18) + 1)</f>
        <v>....Real estate and ownership of dwellings</v>
      </c>
      <c r="C1256" s="1" t="str">
        <f t="shared" si="1"/>
        <v>Sub</v>
      </c>
      <c r="D1256" s="1">
        <f t="shared" si="2"/>
        <v>2022</v>
      </c>
      <c r="E1256" s="1" t="str">
        <f t="shared" si="3"/>
        <v>At Constant 2018 Prices</v>
      </c>
      <c r="F1256" s="3">
        <v>1.0354179E7</v>
      </c>
    </row>
    <row r="1257" ht="15.75" customHeight="1">
      <c r="A1257" s="1" t="str">
        <f t="array" ref="A1257">INDEX(Reference!$A$2:$A$18, INT((ROW()-2)/(18*3*2)) + 1)</f>
        <v>MIMAROPA Region</v>
      </c>
      <c r="B1257" s="2" t="str">
        <f t="array" ref="B1257">INDEX(Reference!$C$2:$C$19, MOD(ROW()-2, 18) + 1)</f>
        <v>....Professional and business services</v>
      </c>
      <c r="C1257" s="1" t="str">
        <f t="shared" si="1"/>
        <v>Sub</v>
      </c>
      <c r="D1257" s="1">
        <f t="shared" si="2"/>
        <v>2022</v>
      </c>
      <c r="E1257" s="1" t="str">
        <f t="shared" si="3"/>
        <v>At Constant 2018 Prices</v>
      </c>
      <c r="F1257" s="3">
        <v>3785206.0</v>
      </c>
    </row>
    <row r="1258" ht="15.75" customHeight="1">
      <c r="A1258" s="1" t="str">
        <f t="array" ref="A1258">INDEX(Reference!$A$2:$A$18, INT((ROW()-2)/(18*3*2)) + 1)</f>
        <v>MIMAROPA Region</v>
      </c>
      <c r="B1258" s="2" t="str">
        <f t="array" ref="B1258">INDEX(Reference!$C$2:$C$19, MOD(ROW()-2, 18) + 1)</f>
        <v>....Public administration and defense; compulsory social activities</v>
      </c>
      <c r="C1258" s="1" t="str">
        <f t="shared" si="1"/>
        <v>Sub</v>
      </c>
      <c r="D1258" s="1">
        <f t="shared" si="2"/>
        <v>2022</v>
      </c>
      <c r="E1258" s="1" t="str">
        <f t="shared" si="3"/>
        <v>At Constant 2018 Prices</v>
      </c>
      <c r="F1258" s="3">
        <v>1.3417589E7</v>
      </c>
    </row>
    <row r="1259" ht="15.75" customHeight="1">
      <c r="A1259" s="1" t="str">
        <f t="array" ref="A1259">INDEX(Reference!$A$2:$A$18, INT((ROW()-2)/(18*3*2)) + 1)</f>
        <v>MIMAROPA Region</v>
      </c>
      <c r="B1259" s="2" t="str">
        <f t="array" ref="B1259">INDEX(Reference!$C$2:$C$19, MOD(ROW()-2, 18) + 1)</f>
        <v>....Education</v>
      </c>
      <c r="C1259" s="1" t="str">
        <f t="shared" si="1"/>
        <v>Sub</v>
      </c>
      <c r="D1259" s="1">
        <f t="shared" si="2"/>
        <v>2022</v>
      </c>
      <c r="E1259" s="1" t="str">
        <f t="shared" si="3"/>
        <v>At Constant 2018 Prices</v>
      </c>
      <c r="F1259" s="3">
        <v>2.1585693E7</v>
      </c>
    </row>
    <row r="1260" ht="15.75" customHeight="1">
      <c r="A1260" s="1" t="str">
        <f t="array" ref="A1260">INDEX(Reference!$A$2:$A$18, INT((ROW()-2)/(18*3*2)) + 1)</f>
        <v>MIMAROPA Region</v>
      </c>
      <c r="B1260" s="2" t="str">
        <f t="array" ref="B1260">INDEX(Reference!$C$2:$C$19, MOD(ROW()-2, 18) + 1)</f>
        <v>....Human health and social work activities</v>
      </c>
      <c r="C1260" s="1" t="str">
        <f t="shared" si="1"/>
        <v>Sub</v>
      </c>
      <c r="D1260" s="1">
        <f t="shared" si="2"/>
        <v>2022</v>
      </c>
      <c r="E1260" s="1" t="str">
        <f t="shared" si="3"/>
        <v>At Constant 2018 Prices</v>
      </c>
      <c r="F1260" s="3">
        <v>6731766.0</v>
      </c>
    </row>
    <row r="1261" ht="15.75" customHeight="1">
      <c r="A1261" s="1" t="str">
        <f t="array" ref="A1261">INDEX(Reference!$A$2:$A$18, INT((ROW()-2)/(18*3*2)) + 1)</f>
        <v>MIMAROPA Region</v>
      </c>
      <c r="B1261" s="2" t="str">
        <f t="array" ref="B1261">INDEX(Reference!$C$2:$C$19, MOD(ROW()-2, 18) + 1)</f>
        <v>....Other services</v>
      </c>
      <c r="C1261" s="1" t="str">
        <f t="shared" si="1"/>
        <v>Sub</v>
      </c>
      <c r="D1261" s="1">
        <f t="shared" si="2"/>
        <v>2022</v>
      </c>
      <c r="E1261" s="1" t="str">
        <f t="shared" si="3"/>
        <v>At Constant 2018 Prices</v>
      </c>
      <c r="F1261" s="3">
        <v>1.174163E7</v>
      </c>
    </row>
    <row r="1262" ht="15.75" customHeight="1">
      <c r="A1262" s="1" t="str">
        <f t="array" ref="A1262">INDEX(Reference!$A$2:$A$18, INT((ROW()-2)/(18*3*2)) + 1)</f>
        <v>MIMAROPA Region</v>
      </c>
      <c r="B1262" s="2" t="str">
        <f t="array" ref="B1262">INDEX(Reference!$C$2:$C$19, MOD(ROW()-2, 18) + 1)</f>
        <v>..Agriculture, forestry, and fishing</v>
      </c>
      <c r="C1262" s="1" t="str">
        <f t="shared" si="1"/>
        <v>Main</v>
      </c>
      <c r="D1262" s="1">
        <f t="shared" si="2"/>
        <v>2023</v>
      </c>
      <c r="E1262" s="1" t="str">
        <f t="shared" si="3"/>
        <v>At Constant 2018 Prices</v>
      </c>
      <c r="F1262" s="3">
        <v>7.4924914E7</v>
      </c>
    </row>
    <row r="1263" ht="15.75" customHeight="1">
      <c r="A1263" s="1" t="str">
        <f t="array" ref="A1263">INDEX(Reference!$A$2:$A$18, INT((ROW()-2)/(18*3*2)) + 1)</f>
        <v>MIMAROPA Region</v>
      </c>
      <c r="B1263" s="2" t="str">
        <f t="array" ref="B1263">INDEX(Reference!$C$2:$C$19, MOD(ROW()-2, 18) + 1)</f>
        <v>..Industry</v>
      </c>
      <c r="C1263" s="1" t="str">
        <f t="shared" si="1"/>
        <v>Main</v>
      </c>
      <c r="D1263" s="1">
        <f t="shared" si="2"/>
        <v>2023</v>
      </c>
      <c r="E1263" s="1" t="str">
        <f t="shared" si="3"/>
        <v>At Constant 2018 Prices</v>
      </c>
      <c r="F1263" s="3">
        <v>1.31468063E8</v>
      </c>
    </row>
    <row r="1264" ht="15.75" customHeight="1">
      <c r="A1264" s="1" t="str">
        <f t="array" ref="A1264">INDEX(Reference!$A$2:$A$18, INT((ROW()-2)/(18*3*2)) + 1)</f>
        <v>MIMAROPA Region</v>
      </c>
      <c r="B1264" s="2" t="str">
        <f t="array" ref="B1264">INDEX(Reference!$C$2:$C$19, MOD(ROW()-2, 18) + 1)</f>
        <v>....Mining and quarrying</v>
      </c>
      <c r="C1264" s="1" t="str">
        <f t="shared" si="1"/>
        <v>Sub</v>
      </c>
      <c r="D1264" s="1">
        <f t="shared" si="2"/>
        <v>2023</v>
      </c>
      <c r="E1264" s="1" t="str">
        <f t="shared" si="3"/>
        <v>At Constant 2018 Prices</v>
      </c>
      <c r="F1264" s="3">
        <v>2.4100279E7</v>
      </c>
    </row>
    <row r="1265" ht="15.75" customHeight="1">
      <c r="A1265" s="1" t="str">
        <f t="array" ref="A1265">INDEX(Reference!$A$2:$A$18, INT((ROW()-2)/(18*3*2)) + 1)</f>
        <v>MIMAROPA Region</v>
      </c>
      <c r="B1265" s="2" t="str">
        <f t="array" ref="B1265">INDEX(Reference!$C$2:$C$19, MOD(ROW()-2, 18) + 1)</f>
        <v>....Manufacturing</v>
      </c>
      <c r="C1265" s="1" t="str">
        <f t="shared" si="1"/>
        <v>Sub</v>
      </c>
      <c r="D1265" s="1">
        <f t="shared" si="2"/>
        <v>2023</v>
      </c>
      <c r="E1265" s="1" t="str">
        <f t="shared" si="3"/>
        <v>At Constant 2018 Prices</v>
      </c>
      <c r="F1265" s="3">
        <v>5.3884868E7</v>
      </c>
    </row>
    <row r="1266" ht="15.75" customHeight="1">
      <c r="A1266" s="1" t="str">
        <f t="array" ref="A1266">INDEX(Reference!$A$2:$A$18, INT((ROW()-2)/(18*3*2)) + 1)</f>
        <v>MIMAROPA Region</v>
      </c>
      <c r="B1266" s="2" t="str">
        <f t="array" ref="B1266">INDEX(Reference!$C$2:$C$19, MOD(ROW()-2, 18) + 1)</f>
        <v>....Electricity, steam, water and waste management</v>
      </c>
      <c r="C1266" s="1" t="str">
        <f t="shared" si="1"/>
        <v>Sub</v>
      </c>
      <c r="D1266" s="1">
        <f t="shared" si="2"/>
        <v>2023</v>
      </c>
      <c r="E1266" s="1" t="str">
        <f t="shared" si="3"/>
        <v>At Constant 2018 Prices</v>
      </c>
      <c r="F1266" s="3">
        <v>1.8544051E7</v>
      </c>
    </row>
    <row r="1267" ht="15.75" customHeight="1">
      <c r="A1267" s="1" t="str">
        <f t="array" ref="A1267">INDEX(Reference!$A$2:$A$18, INT((ROW()-2)/(18*3*2)) + 1)</f>
        <v>MIMAROPA Region</v>
      </c>
      <c r="B1267" s="2" t="str">
        <f t="array" ref="B1267">INDEX(Reference!$C$2:$C$19, MOD(ROW()-2, 18) + 1)</f>
        <v>....Construction</v>
      </c>
      <c r="C1267" s="1" t="str">
        <f t="shared" si="1"/>
        <v>Sub</v>
      </c>
      <c r="D1267" s="1">
        <f t="shared" si="2"/>
        <v>2023</v>
      </c>
      <c r="E1267" s="1" t="str">
        <f t="shared" si="3"/>
        <v>At Constant 2018 Prices</v>
      </c>
      <c r="F1267" s="3">
        <v>3.4938865E7</v>
      </c>
    </row>
    <row r="1268" ht="15.75" customHeight="1">
      <c r="A1268" s="1" t="str">
        <f t="array" ref="A1268">INDEX(Reference!$A$2:$A$18, INT((ROW()-2)/(18*3*2)) + 1)</f>
        <v>MIMAROPA Region</v>
      </c>
      <c r="B1268" s="2" t="str">
        <f t="array" ref="B1268">INDEX(Reference!$C$2:$C$19, MOD(ROW()-2, 18) + 1)</f>
        <v>..Services</v>
      </c>
      <c r="C1268" s="1" t="str">
        <f t="shared" si="1"/>
        <v>Main</v>
      </c>
      <c r="D1268" s="1">
        <f t="shared" si="2"/>
        <v>2023</v>
      </c>
      <c r="E1268" s="1" t="str">
        <f t="shared" si="3"/>
        <v>At Constant 2018 Prices</v>
      </c>
      <c r="F1268" s="3">
        <v>2.04756281E8</v>
      </c>
    </row>
    <row r="1269" ht="15.75" customHeight="1">
      <c r="A1269" s="1" t="str">
        <f t="array" ref="A1269">INDEX(Reference!$A$2:$A$18, INT((ROW()-2)/(18*3*2)) + 1)</f>
        <v>MIMAROPA Region</v>
      </c>
      <c r="B1269" s="2" t="str">
        <f t="array" ref="B1269">INDEX(Reference!$C$2:$C$19, MOD(ROW()-2, 18) + 1)</f>
        <v>....Wholesale and retail trade; repair of motor vehicles and motorcycles</v>
      </c>
      <c r="C1269" s="1" t="str">
        <f t="shared" si="1"/>
        <v>Sub</v>
      </c>
      <c r="D1269" s="1">
        <f t="shared" si="2"/>
        <v>2023</v>
      </c>
      <c r="E1269" s="1" t="str">
        <f t="shared" si="3"/>
        <v>At Constant 2018 Prices</v>
      </c>
      <c r="F1269" s="3">
        <v>5.7018339E7</v>
      </c>
    </row>
    <row r="1270" ht="15.75" customHeight="1">
      <c r="A1270" s="1" t="str">
        <f t="array" ref="A1270">INDEX(Reference!$A$2:$A$18, INT((ROW()-2)/(18*3*2)) + 1)</f>
        <v>MIMAROPA Region</v>
      </c>
      <c r="B1270" s="2" t="str">
        <f t="array" ref="B1270">INDEX(Reference!$C$2:$C$19, MOD(ROW()-2, 18) + 1)</f>
        <v>....Transportation and storage</v>
      </c>
      <c r="C1270" s="1" t="str">
        <f t="shared" si="1"/>
        <v>Sub</v>
      </c>
      <c r="D1270" s="1">
        <f t="shared" si="2"/>
        <v>2023</v>
      </c>
      <c r="E1270" s="1" t="str">
        <f t="shared" si="3"/>
        <v>At Constant 2018 Prices</v>
      </c>
      <c r="F1270" s="3">
        <v>2.4755558E7</v>
      </c>
    </row>
    <row r="1271" ht="15.75" customHeight="1">
      <c r="A1271" s="1" t="str">
        <f t="array" ref="A1271">INDEX(Reference!$A$2:$A$18, INT((ROW()-2)/(18*3*2)) + 1)</f>
        <v>MIMAROPA Region</v>
      </c>
      <c r="B1271" s="2" t="str">
        <f t="array" ref="B1271">INDEX(Reference!$C$2:$C$19, MOD(ROW()-2, 18) + 1)</f>
        <v>....Accommodation and food service activities</v>
      </c>
      <c r="C1271" s="1" t="str">
        <f t="shared" si="1"/>
        <v>Sub</v>
      </c>
      <c r="D1271" s="1">
        <f t="shared" si="2"/>
        <v>2023</v>
      </c>
      <c r="E1271" s="1" t="str">
        <f t="shared" si="3"/>
        <v>At Constant 2018 Prices</v>
      </c>
      <c r="F1271" s="3">
        <v>1.3247491E7</v>
      </c>
    </row>
    <row r="1272" ht="15.75" customHeight="1">
      <c r="A1272" s="1" t="str">
        <f t="array" ref="A1272">INDEX(Reference!$A$2:$A$18, INT((ROW()-2)/(18*3*2)) + 1)</f>
        <v>MIMAROPA Region</v>
      </c>
      <c r="B1272" s="2" t="str">
        <f t="array" ref="B1272">INDEX(Reference!$C$2:$C$19, MOD(ROW()-2, 18) + 1)</f>
        <v>....Information and communication</v>
      </c>
      <c r="C1272" s="1" t="str">
        <f t="shared" si="1"/>
        <v>Sub</v>
      </c>
      <c r="D1272" s="1">
        <f t="shared" si="2"/>
        <v>2023</v>
      </c>
      <c r="E1272" s="1" t="str">
        <f t="shared" si="3"/>
        <v>At Constant 2018 Prices</v>
      </c>
      <c r="F1272" s="3">
        <v>1.5046309E7</v>
      </c>
    </row>
    <row r="1273" ht="15.75" customHeight="1">
      <c r="A1273" s="1" t="str">
        <f t="array" ref="A1273">INDEX(Reference!$A$2:$A$18, INT((ROW()-2)/(18*3*2)) + 1)</f>
        <v>MIMAROPA Region</v>
      </c>
      <c r="B1273" s="2" t="str">
        <f t="array" ref="B1273">INDEX(Reference!$C$2:$C$19, MOD(ROW()-2, 18) + 1)</f>
        <v>....Financial and insurance activities</v>
      </c>
      <c r="C1273" s="1" t="str">
        <f t="shared" si="1"/>
        <v>Sub</v>
      </c>
      <c r="D1273" s="1">
        <f t="shared" si="2"/>
        <v>2023</v>
      </c>
      <c r="E1273" s="1" t="str">
        <f t="shared" si="3"/>
        <v>At Constant 2018 Prices</v>
      </c>
      <c r="F1273" s="3">
        <v>2.1169535E7</v>
      </c>
    </row>
    <row r="1274" ht="15.75" customHeight="1">
      <c r="A1274" s="1" t="str">
        <f t="array" ref="A1274">INDEX(Reference!$A$2:$A$18, INT((ROW()-2)/(18*3*2)) + 1)</f>
        <v>MIMAROPA Region</v>
      </c>
      <c r="B1274" s="2" t="str">
        <f t="array" ref="B1274">INDEX(Reference!$C$2:$C$19, MOD(ROW()-2, 18) + 1)</f>
        <v>....Real estate and ownership of dwellings</v>
      </c>
      <c r="C1274" s="1" t="str">
        <f t="shared" si="1"/>
        <v>Sub</v>
      </c>
      <c r="D1274" s="1">
        <f t="shared" si="2"/>
        <v>2023</v>
      </c>
      <c r="E1274" s="1" t="str">
        <f t="shared" si="3"/>
        <v>At Constant 2018 Prices</v>
      </c>
      <c r="F1274" s="3">
        <v>1.0548941E7</v>
      </c>
    </row>
    <row r="1275" ht="15.75" customHeight="1">
      <c r="A1275" s="1" t="str">
        <f t="array" ref="A1275">INDEX(Reference!$A$2:$A$18, INT((ROW()-2)/(18*3*2)) + 1)</f>
        <v>MIMAROPA Region</v>
      </c>
      <c r="B1275" s="2" t="str">
        <f t="array" ref="B1275">INDEX(Reference!$C$2:$C$19, MOD(ROW()-2, 18) + 1)</f>
        <v>....Professional and business services</v>
      </c>
      <c r="C1275" s="1" t="str">
        <f t="shared" si="1"/>
        <v>Sub</v>
      </c>
      <c r="D1275" s="1">
        <f t="shared" si="2"/>
        <v>2023</v>
      </c>
      <c r="E1275" s="1" t="str">
        <f t="shared" si="3"/>
        <v>At Constant 2018 Prices</v>
      </c>
      <c r="F1275" s="3">
        <v>4158760.0</v>
      </c>
    </row>
    <row r="1276" ht="15.75" customHeight="1">
      <c r="A1276" s="1" t="str">
        <f t="array" ref="A1276">INDEX(Reference!$A$2:$A$18, INT((ROW()-2)/(18*3*2)) + 1)</f>
        <v>MIMAROPA Region</v>
      </c>
      <c r="B1276" s="2" t="str">
        <f t="array" ref="B1276">INDEX(Reference!$C$2:$C$19, MOD(ROW()-2, 18) + 1)</f>
        <v>....Public administration and defense; compulsory social activities</v>
      </c>
      <c r="C1276" s="1" t="str">
        <f t="shared" si="1"/>
        <v>Sub</v>
      </c>
      <c r="D1276" s="1">
        <f t="shared" si="2"/>
        <v>2023</v>
      </c>
      <c r="E1276" s="1" t="str">
        <f t="shared" si="3"/>
        <v>At Constant 2018 Prices</v>
      </c>
      <c r="F1276" s="3">
        <v>1.5280917E7</v>
      </c>
    </row>
    <row r="1277" ht="15.75" customHeight="1">
      <c r="A1277" s="1" t="str">
        <f t="array" ref="A1277">INDEX(Reference!$A$2:$A$18, INT((ROW()-2)/(18*3*2)) + 1)</f>
        <v>MIMAROPA Region</v>
      </c>
      <c r="B1277" s="2" t="str">
        <f t="array" ref="B1277">INDEX(Reference!$C$2:$C$19, MOD(ROW()-2, 18) + 1)</f>
        <v>....Education</v>
      </c>
      <c r="C1277" s="1" t="str">
        <f t="shared" si="1"/>
        <v>Sub</v>
      </c>
      <c r="D1277" s="1">
        <f t="shared" si="2"/>
        <v>2023</v>
      </c>
      <c r="E1277" s="1" t="str">
        <f t="shared" si="3"/>
        <v>At Constant 2018 Prices</v>
      </c>
      <c r="F1277" s="3">
        <v>2.2985297E7</v>
      </c>
    </row>
    <row r="1278" ht="15.75" customHeight="1">
      <c r="A1278" s="1" t="str">
        <f t="array" ref="A1278">INDEX(Reference!$A$2:$A$18, INT((ROW()-2)/(18*3*2)) + 1)</f>
        <v>MIMAROPA Region</v>
      </c>
      <c r="B1278" s="2" t="str">
        <f t="array" ref="B1278">INDEX(Reference!$C$2:$C$19, MOD(ROW()-2, 18) + 1)</f>
        <v>....Human health and social work activities</v>
      </c>
      <c r="C1278" s="1" t="str">
        <f t="shared" si="1"/>
        <v>Sub</v>
      </c>
      <c r="D1278" s="1">
        <f t="shared" si="2"/>
        <v>2023</v>
      </c>
      <c r="E1278" s="1" t="str">
        <f t="shared" si="3"/>
        <v>At Constant 2018 Prices</v>
      </c>
      <c r="F1278" s="3">
        <v>6964310.0</v>
      </c>
    </row>
    <row r="1279" ht="15.75" customHeight="1">
      <c r="A1279" s="1" t="str">
        <f t="array" ref="A1279">INDEX(Reference!$A$2:$A$18, INT((ROW()-2)/(18*3*2)) + 1)</f>
        <v>MIMAROPA Region</v>
      </c>
      <c r="B1279" s="2" t="str">
        <f t="array" ref="B1279">INDEX(Reference!$C$2:$C$19, MOD(ROW()-2, 18) + 1)</f>
        <v>....Other services</v>
      </c>
      <c r="C1279" s="1" t="str">
        <f t="shared" si="1"/>
        <v>Sub</v>
      </c>
      <c r="D1279" s="1">
        <f t="shared" si="2"/>
        <v>2023</v>
      </c>
      <c r="E1279" s="1" t="str">
        <f t="shared" si="3"/>
        <v>At Constant 2018 Prices</v>
      </c>
      <c r="F1279" s="3">
        <v>1.3580825E7</v>
      </c>
    </row>
    <row r="1280" ht="15.75" customHeight="1">
      <c r="A1280" s="1" t="str">
        <f t="array" ref="A1280">INDEX(Reference!$A$2:$A$18, INT((ROW()-2)/(18*3*2)) + 1)</f>
        <v>MIMAROPA Region</v>
      </c>
      <c r="B1280" s="2" t="str">
        <f t="array" ref="B1280">INDEX(Reference!$C$2:$C$19, MOD(ROW()-2, 18) + 1)</f>
        <v>..Agriculture, forestry, and fishing</v>
      </c>
      <c r="C1280" s="1" t="str">
        <f t="shared" si="1"/>
        <v>Main</v>
      </c>
      <c r="D1280" s="1">
        <f t="shared" si="2"/>
        <v>2024</v>
      </c>
      <c r="E1280" s="1" t="str">
        <f t="shared" si="3"/>
        <v>At Constant 2018 Prices</v>
      </c>
      <c r="F1280" s="3">
        <v>7.0959793E7</v>
      </c>
    </row>
    <row r="1281" ht="15.75" customHeight="1">
      <c r="A1281" s="1" t="str">
        <f t="array" ref="A1281">INDEX(Reference!$A$2:$A$18, INT((ROW()-2)/(18*3*2)) + 1)</f>
        <v>MIMAROPA Region</v>
      </c>
      <c r="B1281" s="2" t="str">
        <f t="array" ref="B1281">INDEX(Reference!$C$2:$C$19, MOD(ROW()-2, 18) + 1)</f>
        <v>..Industry</v>
      </c>
      <c r="C1281" s="1" t="str">
        <f t="shared" si="1"/>
        <v>Main</v>
      </c>
      <c r="D1281" s="1">
        <f t="shared" si="2"/>
        <v>2024</v>
      </c>
      <c r="E1281" s="1" t="str">
        <f t="shared" si="3"/>
        <v>At Constant 2018 Prices</v>
      </c>
      <c r="F1281" s="3">
        <v>1.39147941E8</v>
      </c>
    </row>
    <row r="1282" ht="15.75" customHeight="1">
      <c r="A1282" s="1" t="str">
        <f t="array" ref="A1282">INDEX(Reference!$A$2:$A$18, INT((ROW()-2)/(18*3*2)) + 1)</f>
        <v>MIMAROPA Region</v>
      </c>
      <c r="B1282" s="2" t="str">
        <f t="array" ref="B1282">INDEX(Reference!$C$2:$C$19, MOD(ROW()-2, 18) + 1)</f>
        <v>....Mining and quarrying</v>
      </c>
      <c r="C1282" s="1" t="str">
        <f t="shared" si="1"/>
        <v>Sub</v>
      </c>
      <c r="D1282" s="1">
        <f t="shared" si="2"/>
        <v>2024</v>
      </c>
      <c r="E1282" s="1" t="str">
        <f t="shared" si="3"/>
        <v>At Constant 2018 Prices</v>
      </c>
      <c r="F1282" s="3">
        <v>2.2218409E7</v>
      </c>
    </row>
    <row r="1283" ht="15.75" customHeight="1">
      <c r="A1283" s="1" t="str">
        <f t="array" ref="A1283">INDEX(Reference!$A$2:$A$18, INT((ROW()-2)/(18*3*2)) + 1)</f>
        <v>MIMAROPA Region</v>
      </c>
      <c r="B1283" s="2" t="str">
        <f t="array" ref="B1283">INDEX(Reference!$C$2:$C$19, MOD(ROW()-2, 18) + 1)</f>
        <v>....Manufacturing</v>
      </c>
      <c r="C1283" s="1" t="str">
        <f t="shared" si="1"/>
        <v>Sub</v>
      </c>
      <c r="D1283" s="1">
        <f t="shared" si="2"/>
        <v>2024</v>
      </c>
      <c r="E1283" s="1" t="str">
        <f t="shared" si="3"/>
        <v>At Constant 2018 Prices</v>
      </c>
      <c r="F1283" s="3">
        <v>5.4518441E7</v>
      </c>
    </row>
    <row r="1284" ht="15.75" customHeight="1">
      <c r="A1284" s="1" t="str">
        <f t="array" ref="A1284">INDEX(Reference!$A$2:$A$18, INT((ROW()-2)/(18*3*2)) + 1)</f>
        <v>MIMAROPA Region</v>
      </c>
      <c r="B1284" s="2" t="str">
        <f t="array" ref="B1284">INDEX(Reference!$C$2:$C$19, MOD(ROW()-2, 18) + 1)</f>
        <v>....Electricity, steam, water and waste management</v>
      </c>
      <c r="C1284" s="1" t="str">
        <f t="shared" si="1"/>
        <v>Sub</v>
      </c>
      <c r="D1284" s="1">
        <f t="shared" si="2"/>
        <v>2024</v>
      </c>
      <c r="E1284" s="1" t="str">
        <f t="shared" si="3"/>
        <v>At Constant 2018 Prices</v>
      </c>
      <c r="F1284" s="3">
        <v>2.0785608E7</v>
      </c>
    </row>
    <row r="1285" ht="15.75" customHeight="1">
      <c r="A1285" s="1" t="str">
        <f t="array" ref="A1285">INDEX(Reference!$A$2:$A$18, INT((ROW()-2)/(18*3*2)) + 1)</f>
        <v>MIMAROPA Region</v>
      </c>
      <c r="B1285" s="2" t="str">
        <f t="array" ref="B1285">INDEX(Reference!$C$2:$C$19, MOD(ROW()-2, 18) + 1)</f>
        <v>....Construction</v>
      </c>
      <c r="C1285" s="1" t="str">
        <f t="shared" si="1"/>
        <v>Sub</v>
      </c>
      <c r="D1285" s="1">
        <f t="shared" si="2"/>
        <v>2024</v>
      </c>
      <c r="E1285" s="1" t="str">
        <f t="shared" si="3"/>
        <v>At Constant 2018 Prices</v>
      </c>
      <c r="F1285" s="3">
        <v>4.1625483E7</v>
      </c>
    </row>
    <row r="1286" ht="15.75" customHeight="1">
      <c r="A1286" s="1" t="str">
        <f t="array" ref="A1286">INDEX(Reference!$A$2:$A$18, INT((ROW()-2)/(18*3*2)) + 1)</f>
        <v>MIMAROPA Region</v>
      </c>
      <c r="B1286" s="2" t="str">
        <f t="array" ref="B1286">INDEX(Reference!$C$2:$C$19, MOD(ROW()-2, 18) + 1)</f>
        <v>..Services</v>
      </c>
      <c r="C1286" s="1" t="str">
        <f t="shared" si="1"/>
        <v>Main</v>
      </c>
      <c r="D1286" s="1">
        <f t="shared" si="2"/>
        <v>2024</v>
      </c>
      <c r="E1286" s="1" t="str">
        <f t="shared" si="3"/>
        <v>At Constant 2018 Prices</v>
      </c>
      <c r="F1286" s="3">
        <v>2.1926851E8</v>
      </c>
    </row>
    <row r="1287" ht="15.75" customHeight="1">
      <c r="A1287" s="1" t="str">
        <f t="array" ref="A1287">INDEX(Reference!$A$2:$A$18, INT((ROW()-2)/(18*3*2)) + 1)</f>
        <v>MIMAROPA Region</v>
      </c>
      <c r="B1287" s="2" t="str">
        <f t="array" ref="B1287">INDEX(Reference!$C$2:$C$19, MOD(ROW()-2, 18) + 1)</f>
        <v>....Wholesale and retail trade; repair of motor vehicles and motorcycles</v>
      </c>
      <c r="C1287" s="1" t="str">
        <f t="shared" si="1"/>
        <v>Sub</v>
      </c>
      <c r="D1287" s="1">
        <f t="shared" si="2"/>
        <v>2024</v>
      </c>
      <c r="E1287" s="1" t="str">
        <f t="shared" si="3"/>
        <v>At Constant 2018 Prices</v>
      </c>
      <c r="F1287" s="3">
        <v>6.0841019E7</v>
      </c>
    </row>
    <row r="1288" ht="15.75" customHeight="1">
      <c r="A1288" s="1" t="str">
        <f t="array" ref="A1288">INDEX(Reference!$A$2:$A$18, INT((ROW()-2)/(18*3*2)) + 1)</f>
        <v>MIMAROPA Region</v>
      </c>
      <c r="B1288" s="2" t="str">
        <f t="array" ref="B1288">INDEX(Reference!$C$2:$C$19, MOD(ROW()-2, 18) + 1)</f>
        <v>....Transportation and storage</v>
      </c>
      <c r="C1288" s="1" t="str">
        <f t="shared" si="1"/>
        <v>Sub</v>
      </c>
      <c r="D1288" s="1">
        <f t="shared" si="2"/>
        <v>2024</v>
      </c>
      <c r="E1288" s="1" t="str">
        <f t="shared" si="3"/>
        <v>At Constant 2018 Prices</v>
      </c>
      <c r="F1288" s="3">
        <v>2.762046E7</v>
      </c>
    </row>
    <row r="1289" ht="15.75" customHeight="1">
      <c r="A1289" s="1" t="str">
        <f t="array" ref="A1289">INDEX(Reference!$A$2:$A$18, INT((ROW()-2)/(18*3*2)) + 1)</f>
        <v>MIMAROPA Region</v>
      </c>
      <c r="B1289" s="2" t="str">
        <f t="array" ref="B1289">INDEX(Reference!$C$2:$C$19, MOD(ROW()-2, 18) + 1)</f>
        <v>....Accommodation and food service activities</v>
      </c>
      <c r="C1289" s="1" t="str">
        <f t="shared" si="1"/>
        <v>Sub</v>
      </c>
      <c r="D1289" s="1">
        <f t="shared" si="2"/>
        <v>2024</v>
      </c>
      <c r="E1289" s="1" t="str">
        <f t="shared" si="3"/>
        <v>At Constant 2018 Prices</v>
      </c>
      <c r="F1289" s="3">
        <v>1.4623024E7</v>
      </c>
    </row>
    <row r="1290" ht="15.75" customHeight="1">
      <c r="A1290" s="1" t="str">
        <f t="array" ref="A1290">INDEX(Reference!$A$2:$A$18, INT((ROW()-2)/(18*3*2)) + 1)</f>
        <v>MIMAROPA Region</v>
      </c>
      <c r="B1290" s="2" t="str">
        <f t="array" ref="B1290">INDEX(Reference!$C$2:$C$19, MOD(ROW()-2, 18) + 1)</f>
        <v>....Information and communication</v>
      </c>
      <c r="C1290" s="1" t="str">
        <f t="shared" si="1"/>
        <v>Sub</v>
      </c>
      <c r="D1290" s="1">
        <f t="shared" si="2"/>
        <v>2024</v>
      </c>
      <c r="E1290" s="1" t="str">
        <f t="shared" si="3"/>
        <v>At Constant 2018 Prices</v>
      </c>
      <c r="F1290" s="3">
        <v>1.565755E7</v>
      </c>
    </row>
    <row r="1291" ht="15.75" customHeight="1">
      <c r="A1291" s="1" t="str">
        <f t="array" ref="A1291">INDEX(Reference!$A$2:$A$18, INT((ROW()-2)/(18*3*2)) + 1)</f>
        <v>MIMAROPA Region</v>
      </c>
      <c r="B1291" s="2" t="str">
        <f t="array" ref="B1291">INDEX(Reference!$C$2:$C$19, MOD(ROW()-2, 18) + 1)</f>
        <v>....Financial and insurance activities</v>
      </c>
      <c r="C1291" s="1" t="str">
        <f t="shared" si="1"/>
        <v>Sub</v>
      </c>
      <c r="D1291" s="1">
        <f t="shared" si="2"/>
        <v>2024</v>
      </c>
      <c r="E1291" s="1" t="str">
        <f t="shared" si="3"/>
        <v>At Constant 2018 Prices</v>
      </c>
      <c r="F1291" s="3">
        <v>2.3208357E7</v>
      </c>
    </row>
    <row r="1292" ht="15.75" customHeight="1">
      <c r="A1292" s="1" t="str">
        <f t="array" ref="A1292">INDEX(Reference!$A$2:$A$18, INT((ROW()-2)/(18*3*2)) + 1)</f>
        <v>MIMAROPA Region</v>
      </c>
      <c r="B1292" s="2" t="str">
        <f t="array" ref="B1292">INDEX(Reference!$C$2:$C$19, MOD(ROW()-2, 18) + 1)</f>
        <v>....Real estate and ownership of dwellings</v>
      </c>
      <c r="C1292" s="1" t="str">
        <f t="shared" si="1"/>
        <v>Sub</v>
      </c>
      <c r="D1292" s="1">
        <f t="shared" si="2"/>
        <v>2024</v>
      </c>
      <c r="E1292" s="1" t="str">
        <f t="shared" si="3"/>
        <v>At Constant 2018 Prices</v>
      </c>
      <c r="F1292" s="3">
        <v>1.0968562E7</v>
      </c>
    </row>
    <row r="1293" ht="15.75" customHeight="1">
      <c r="A1293" s="1" t="str">
        <f t="array" ref="A1293">INDEX(Reference!$A$2:$A$18, INT((ROW()-2)/(18*3*2)) + 1)</f>
        <v>MIMAROPA Region</v>
      </c>
      <c r="B1293" s="2" t="str">
        <f t="array" ref="B1293">INDEX(Reference!$C$2:$C$19, MOD(ROW()-2, 18) + 1)</f>
        <v>....Professional and business services</v>
      </c>
      <c r="C1293" s="1" t="str">
        <f t="shared" si="1"/>
        <v>Sub</v>
      </c>
      <c r="D1293" s="1">
        <f t="shared" si="2"/>
        <v>2024</v>
      </c>
      <c r="E1293" s="1" t="str">
        <f t="shared" si="3"/>
        <v>At Constant 2018 Prices</v>
      </c>
      <c r="F1293" s="3">
        <v>4702214.0</v>
      </c>
    </row>
    <row r="1294" ht="15.75" customHeight="1">
      <c r="A1294" s="1" t="str">
        <f t="array" ref="A1294">INDEX(Reference!$A$2:$A$18, INT((ROW()-2)/(18*3*2)) + 1)</f>
        <v>MIMAROPA Region</v>
      </c>
      <c r="B1294" s="2" t="str">
        <f t="array" ref="B1294">INDEX(Reference!$C$2:$C$19, MOD(ROW()-2, 18) + 1)</f>
        <v>....Public administration and defense; compulsory social activities</v>
      </c>
      <c r="C1294" s="1" t="str">
        <f t="shared" si="1"/>
        <v>Sub</v>
      </c>
      <c r="D1294" s="1">
        <f t="shared" si="2"/>
        <v>2024</v>
      </c>
      <c r="E1294" s="1" t="str">
        <f t="shared" si="3"/>
        <v>At Constant 2018 Prices</v>
      </c>
      <c r="F1294" s="3">
        <v>1.571028E7</v>
      </c>
    </row>
    <row r="1295" ht="15.75" customHeight="1">
      <c r="A1295" s="1" t="str">
        <f t="array" ref="A1295">INDEX(Reference!$A$2:$A$18, INT((ROW()-2)/(18*3*2)) + 1)</f>
        <v>MIMAROPA Region</v>
      </c>
      <c r="B1295" s="2" t="str">
        <f t="array" ref="B1295">INDEX(Reference!$C$2:$C$19, MOD(ROW()-2, 18) + 1)</f>
        <v>....Education</v>
      </c>
      <c r="C1295" s="1" t="str">
        <f t="shared" si="1"/>
        <v>Sub</v>
      </c>
      <c r="D1295" s="1">
        <f t="shared" si="2"/>
        <v>2024</v>
      </c>
      <c r="E1295" s="1" t="str">
        <f t="shared" si="3"/>
        <v>At Constant 2018 Prices</v>
      </c>
      <c r="F1295" s="3">
        <v>2.3616071E7</v>
      </c>
    </row>
    <row r="1296" ht="15.75" customHeight="1">
      <c r="A1296" s="1" t="str">
        <f t="array" ref="A1296">INDEX(Reference!$A$2:$A$18, INT((ROW()-2)/(18*3*2)) + 1)</f>
        <v>MIMAROPA Region</v>
      </c>
      <c r="B1296" s="2" t="str">
        <f t="array" ref="B1296">INDEX(Reference!$C$2:$C$19, MOD(ROW()-2, 18) + 1)</f>
        <v>....Human health and social work activities</v>
      </c>
      <c r="C1296" s="1" t="str">
        <f t="shared" si="1"/>
        <v>Sub</v>
      </c>
      <c r="D1296" s="1">
        <f t="shared" si="2"/>
        <v>2024</v>
      </c>
      <c r="E1296" s="1" t="str">
        <f t="shared" si="3"/>
        <v>At Constant 2018 Prices</v>
      </c>
      <c r="F1296" s="3">
        <v>7709736.0</v>
      </c>
    </row>
    <row r="1297" ht="15.75" customHeight="1">
      <c r="A1297" s="1" t="str">
        <f t="array" ref="A1297">INDEX(Reference!$A$2:$A$18, INT((ROW()-2)/(18*3*2)) + 1)</f>
        <v>MIMAROPA Region</v>
      </c>
      <c r="B1297" s="2" t="str">
        <f t="array" ref="B1297">INDEX(Reference!$C$2:$C$19, MOD(ROW()-2, 18) + 1)</f>
        <v>....Other services</v>
      </c>
      <c r="C1297" s="1" t="str">
        <f t="shared" si="1"/>
        <v>Sub</v>
      </c>
      <c r="D1297" s="1">
        <f t="shared" si="2"/>
        <v>2024</v>
      </c>
      <c r="E1297" s="1" t="str">
        <f t="shared" si="3"/>
        <v>At Constant 2018 Prices</v>
      </c>
      <c r="F1297" s="3">
        <v>1.4611236E7</v>
      </c>
    </row>
    <row r="1298" ht="15.75" customHeight="1">
      <c r="A1298" s="1" t="str">
        <f t="array" ref="A1298">INDEX(Reference!$A$2:$A$18, INT((ROW()-2)/(18*3*2)) + 1)</f>
        <v>NCR</v>
      </c>
      <c r="B1298" s="2" t="str">
        <f t="array" ref="B1298">INDEX(Reference!$C$2:$C$19, MOD(ROW()-2, 18) + 1)</f>
        <v>..Agriculture, forestry, and fishing</v>
      </c>
      <c r="C1298" s="1" t="str">
        <f t="shared" si="1"/>
        <v>Main</v>
      </c>
      <c r="D1298" s="1">
        <f t="shared" si="2"/>
        <v>2022</v>
      </c>
      <c r="E1298" s="1" t="str">
        <f t="shared" si="3"/>
        <v>At Current Prices</v>
      </c>
      <c r="F1298" s="3">
        <v>560698.0</v>
      </c>
    </row>
    <row r="1299" ht="15.75" customHeight="1">
      <c r="A1299" s="1" t="str">
        <f t="array" ref="A1299">INDEX(Reference!$A$2:$A$18, INT((ROW()-2)/(18*3*2)) + 1)</f>
        <v>NCR</v>
      </c>
      <c r="B1299" s="2" t="str">
        <f t="array" ref="B1299">INDEX(Reference!$C$2:$C$19, MOD(ROW()-2, 18) + 1)</f>
        <v>..Industry</v>
      </c>
      <c r="C1299" s="1" t="str">
        <f t="shared" si="1"/>
        <v>Main</v>
      </c>
      <c r="D1299" s="1">
        <f t="shared" si="2"/>
        <v>2022</v>
      </c>
      <c r="E1299" s="1" t="str">
        <f t="shared" si="3"/>
        <v>At Current Prices</v>
      </c>
      <c r="F1299" s="3">
        <v>1.23729778E9</v>
      </c>
    </row>
    <row r="1300" ht="15.75" customHeight="1">
      <c r="A1300" s="1" t="str">
        <f t="array" ref="A1300">INDEX(Reference!$A$2:$A$18, INT((ROW()-2)/(18*3*2)) + 1)</f>
        <v>NCR</v>
      </c>
      <c r="B1300" s="2" t="str">
        <f t="array" ref="B1300">INDEX(Reference!$C$2:$C$19, MOD(ROW()-2, 18) + 1)</f>
        <v>....Mining and quarrying</v>
      </c>
      <c r="C1300" s="1" t="str">
        <f t="shared" si="1"/>
        <v>Sub</v>
      </c>
      <c r="D1300" s="1">
        <f t="shared" si="2"/>
        <v>2022</v>
      </c>
      <c r="E1300" s="1" t="str">
        <f t="shared" si="3"/>
        <v>At Current Prices</v>
      </c>
      <c r="F1300" s="3">
        <v>430592.0</v>
      </c>
    </row>
    <row r="1301" ht="15.75" customHeight="1">
      <c r="A1301" s="1" t="str">
        <f t="array" ref="A1301">INDEX(Reference!$A$2:$A$18, INT((ROW()-2)/(18*3*2)) + 1)</f>
        <v>NCR</v>
      </c>
      <c r="B1301" s="2" t="str">
        <f t="array" ref="B1301">INDEX(Reference!$C$2:$C$19, MOD(ROW()-2, 18) + 1)</f>
        <v>....Manufacturing</v>
      </c>
      <c r="C1301" s="1" t="str">
        <f t="shared" si="1"/>
        <v>Sub</v>
      </c>
      <c r="D1301" s="1">
        <f t="shared" si="2"/>
        <v>2022</v>
      </c>
      <c r="E1301" s="1" t="str">
        <f t="shared" si="3"/>
        <v>At Current Prices</v>
      </c>
      <c r="F1301" s="3">
        <v>8.35168015E8</v>
      </c>
    </row>
    <row r="1302" ht="15.75" customHeight="1">
      <c r="A1302" s="1" t="str">
        <f t="array" ref="A1302">INDEX(Reference!$A$2:$A$18, INT((ROW()-2)/(18*3*2)) + 1)</f>
        <v>NCR</v>
      </c>
      <c r="B1302" s="2" t="str">
        <f t="array" ref="B1302">INDEX(Reference!$C$2:$C$19, MOD(ROW()-2, 18) + 1)</f>
        <v>....Electricity, steam, water and waste management</v>
      </c>
      <c r="C1302" s="1" t="str">
        <f t="shared" si="1"/>
        <v>Sub</v>
      </c>
      <c r="D1302" s="1">
        <f t="shared" si="2"/>
        <v>2022</v>
      </c>
      <c r="E1302" s="1" t="str">
        <f t="shared" si="3"/>
        <v>At Current Prices</v>
      </c>
      <c r="F1302" s="3">
        <v>9.7268593E7</v>
      </c>
    </row>
    <row r="1303" ht="15.75" customHeight="1">
      <c r="A1303" s="1" t="str">
        <f t="array" ref="A1303">INDEX(Reference!$A$2:$A$18, INT((ROW()-2)/(18*3*2)) + 1)</f>
        <v>NCR</v>
      </c>
      <c r="B1303" s="2" t="str">
        <f t="array" ref="B1303">INDEX(Reference!$C$2:$C$19, MOD(ROW()-2, 18) + 1)</f>
        <v>....Construction</v>
      </c>
      <c r="C1303" s="1" t="str">
        <f t="shared" si="1"/>
        <v>Sub</v>
      </c>
      <c r="D1303" s="1">
        <f t="shared" si="2"/>
        <v>2022</v>
      </c>
      <c r="E1303" s="1" t="str">
        <f t="shared" si="3"/>
        <v>At Current Prices</v>
      </c>
      <c r="F1303" s="3">
        <v>3.0443058E8</v>
      </c>
    </row>
    <row r="1304" ht="15.75" customHeight="1">
      <c r="A1304" s="1" t="str">
        <f t="array" ref="A1304">INDEX(Reference!$A$2:$A$18, INT((ROW()-2)/(18*3*2)) + 1)</f>
        <v>NCR</v>
      </c>
      <c r="B1304" s="2" t="str">
        <f t="array" ref="B1304">INDEX(Reference!$C$2:$C$19, MOD(ROW()-2, 18) + 1)</f>
        <v>..Services</v>
      </c>
      <c r="C1304" s="1" t="str">
        <f t="shared" si="1"/>
        <v>Main</v>
      </c>
      <c r="D1304" s="1">
        <f t="shared" si="2"/>
        <v>2022</v>
      </c>
      <c r="E1304" s="1" t="str">
        <f t="shared" si="3"/>
        <v>At Current Prices</v>
      </c>
      <c r="F1304" s="3">
        <v>5.654268524E9</v>
      </c>
    </row>
    <row r="1305" ht="15.75" customHeight="1">
      <c r="A1305" s="1" t="str">
        <f t="array" ref="A1305">INDEX(Reference!$A$2:$A$18, INT((ROW()-2)/(18*3*2)) + 1)</f>
        <v>NCR</v>
      </c>
      <c r="B1305" s="2" t="str">
        <f t="array" ref="B1305">INDEX(Reference!$C$2:$C$19, MOD(ROW()-2, 18) + 1)</f>
        <v>....Wholesale and retail trade; repair of motor vehicles and motorcycles</v>
      </c>
      <c r="C1305" s="1" t="str">
        <f t="shared" si="1"/>
        <v>Sub</v>
      </c>
      <c r="D1305" s="1">
        <f t="shared" si="2"/>
        <v>2022</v>
      </c>
      <c r="E1305" s="1" t="str">
        <f t="shared" si="3"/>
        <v>At Current Prices</v>
      </c>
      <c r="F1305" s="3">
        <v>1.552955566E9</v>
      </c>
    </row>
    <row r="1306" ht="15.75" customHeight="1">
      <c r="A1306" s="1" t="str">
        <f t="array" ref="A1306">INDEX(Reference!$A$2:$A$18, INT((ROW()-2)/(18*3*2)) + 1)</f>
        <v>NCR</v>
      </c>
      <c r="B1306" s="2" t="str">
        <f t="array" ref="B1306">INDEX(Reference!$C$2:$C$19, MOD(ROW()-2, 18) + 1)</f>
        <v>....Transportation and storage</v>
      </c>
      <c r="C1306" s="1" t="str">
        <f t="shared" si="1"/>
        <v>Sub</v>
      </c>
      <c r="D1306" s="1">
        <f t="shared" si="2"/>
        <v>2022</v>
      </c>
      <c r="E1306" s="1" t="str">
        <f t="shared" si="3"/>
        <v>At Current Prices</v>
      </c>
      <c r="F1306" s="3">
        <v>1.60215982E8</v>
      </c>
    </row>
    <row r="1307" ht="15.75" customHeight="1">
      <c r="A1307" s="1" t="str">
        <f t="array" ref="A1307">INDEX(Reference!$A$2:$A$18, INT((ROW()-2)/(18*3*2)) + 1)</f>
        <v>NCR</v>
      </c>
      <c r="B1307" s="2" t="str">
        <f t="array" ref="B1307">INDEX(Reference!$C$2:$C$19, MOD(ROW()-2, 18) + 1)</f>
        <v>....Accommodation and food service activities</v>
      </c>
      <c r="C1307" s="1" t="str">
        <f t="shared" si="1"/>
        <v>Sub</v>
      </c>
      <c r="D1307" s="1">
        <f t="shared" si="2"/>
        <v>2022</v>
      </c>
      <c r="E1307" s="1" t="str">
        <f t="shared" si="3"/>
        <v>At Current Prices</v>
      </c>
      <c r="F1307" s="3">
        <v>7.7076648E7</v>
      </c>
    </row>
    <row r="1308" ht="15.75" customHeight="1">
      <c r="A1308" s="1" t="str">
        <f t="array" ref="A1308">INDEX(Reference!$A$2:$A$18, INT((ROW()-2)/(18*3*2)) + 1)</f>
        <v>NCR</v>
      </c>
      <c r="B1308" s="2" t="str">
        <f t="array" ref="B1308">INDEX(Reference!$C$2:$C$19, MOD(ROW()-2, 18) + 1)</f>
        <v>....Information and communication</v>
      </c>
      <c r="C1308" s="1" t="str">
        <f t="shared" si="1"/>
        <v>Sub</v>
      </c>
      <c r="D1308" s="1">
        <f t="shared" si="2"/>
        <v>2022</v>
      </c>
      <c r="E1308" s="1" t="str">
        <f t="shared" si="3"/>
        <v>At Current Prices</v>
      </c>
      <c r="F1308" s="3">
        <v>1.6571804E8</v>
      </c>
    </row>
    <row r="1309" ht="15.75" customHeight="1">
      <c r="A1309" s="1" t="str">
        <f t="array" ref="A1309">INDEX(Reference!$A$2:$A$18, INT((ROW()-2)/(18*3*2)) + 1)</f>
        <v>NCR</v>
      </c>
      <c r="B1309" s="2" t="str">
        <f t="array" ref="B1309">INDEX(Reference!$C$2:$C$19, MOD(ROW()-2, 18) + 1)</f>
        <v>....Financial and insurance activities</v>
      </c>
      <c r="C1309" s="1" t="str">
        <f t="shared" si="1"/>
        <v>Sub</v>
      </c>
      <c r="D1309" s="1">
        <f t="shared" si="2"/>
        <v>2022</v>
      </c>
      <c r="E1309" s="1" t="str">
        <f t="shared" si="3"/>
        <v>At Current Prices</v>
      </c>
      <c r="F1309" s="3">
        <v>1.335758232E9</v>
      </c>
    </row>
    <row r="1310" ht="15.75" customHeight="1">
      <c r="A1310" s="1" t="str">
        <f t="array" ref="A1310">INDEX(Reference!$A$2:$A$18, INT((ROW()-2)/(18*3*2)) + 1)</f>
        <v>NCR</v>
      </c>
      <c r="B1310" s="2" t="str">
        <f t="array" ref="B1310">INDEX(Reference!$C$2:$C$19, MOD(ROW()-2, 18) + 1)</f>
        <v>....Real estate and ownership of dwellings</v>
      </c>
      <c r="C1310" s="1" t="str">
        <f t="shared" si="1"/>
        <v>Sub</v>
      </c>
      <c r="D1310" s="1">
        <f t="shared" si="2"/>
        <v>2022</v>
      </c>
      <c r="E1310" s="1" t="str">
        <f t="shared" si="3"/>
        <v>At Current Prices</v>
      </c>
      <c r="F1310" s="3">
        <v>4.29588239E8</v>
      </c>
    </row>
    <row r="1311" ht="15.75" customHeight="1">
      <c r="A1311" s="1" t="str">
        <f t="array" ref="A1311">INDEX(Reference!$A$2:$A$18, INT((ROW()-2)/(18*3*2)) + 1)</f>
        <v>NCR</v>
      </c>
      <c r="B1311" s="2" t="str">
        <f t="array" ref="B1311">INDEX(Reference!$C$2:$C$19, MOD(ROW()-2, 18) + 1)</f>
        <v>....Professional and business services</v>
      </c>
      <c r="C1311" s="1" t="str">
        <f t="shared" si="1"/>
        <v>Sub</v>
      </c>
      <c r="D1311" s="1">
        <f t="shared" si="2"/>
        <v>2022</v>
      </c>
      <c r="E1311" s="1" t="str">
        <f t="shared" si="3"/>
        <v>At Current Prices</v>
      </c>
      <c r="F1311" s="3">
        <v>8.95529681E8</v>
      </c>
    </row>
    <row r="1312" ht="15.75" customHeight="1">
      <c r="A1312" s="1" t="str">
        <f t="array" ref="A1312">INDEX(Reference!$A$2:$A$18, INT((ROW()-2)/(18*3*2)) + 1)</f>
        <v>NCR</v>
      </c>
      <c r="B1312" s="2" t="str">
        <f t="array" ref="B1312">INDEX(Reference!$C$2:$C$19, MOD(ROW()-2, 18) + 1)</f>
        <v>....Public administration and defense; compulsory social activities</v>
      </c>
      <c r="C1312" s="1" t="str">
        <f t="shared" si="1"/>
        <v>Sub</v>
      </c>
      <c r="D1312" s="1">
        <f t="shared" si="2"/>
        <v>2022</v>
      </c>
      <c r="E1312" s="1" t="str">
        <f t="shared" si="3"/>
        <v>At Current Prices</v>
      </c>
      <c r="F1312" s="3">
        <v>6.34922769E8</v>
      </c>
    </row>
    <row r="1313" ht="15.75" customHeight="1">
      <c r="A1313" s="1" t="str">
        <f t="array" ref="A1313">INDEX(Reference!$A$2:$A$18, INT((ROW()-2)/(18*3*2)) + 1)</f>
        <v>NCR</v>
      </c>
      <c r="B1313" s="2" t="str">
        <f t="array" ref="B1313">INDEX(Reference!$C$2:$C$19, MOD(ROW()-2, 18) + 1)</f>
        <v>....Education</v>
      </c>
      <c r="C1313" s="1" t="str">
        <f t="shared" si="1"/>
        <v>Sub</v>
      </c>
      <c r="D1313" s="1">
        <f t="shared" si="2"/>
        <v>2022</v>
      </c>
      <c r="E1313" s="1" t="str">
        <f t="shared" si="3"/>
        <v>At Current Prices</v>
      </c>
      <c r="F1313" s="3">
        <v>1.41931544E8</v>
      </c>
    </row>
    <row r="1314" ht="15.75" customHeight="1">
      <c r="A1314" s="1" t="str">
        <f t="array" ref="A1314">INDEX(Reference!$A$2:$A$18, INT((ROW()-2)/(18*3*2)) + 1)</f>
        <v>NCR</v>
      </c>
      <c r="B1314" s="2" t="str">
        <f t="array" ref="B1314">INDEX(Reference!$C$2:$C$19, MOD(ROW()-2, 18) + 1)</f>
        <v>....Human health and social work activities</v>
      </c>
      <c r="C1314" s="1" t="str">
        <f t="shared" si="1"/>
        <v>Sub</v>
      </c>
      <c r="D1314" s="1">
        <f t="shared" si="2"/>
        <v>2022</v>
      </c>
      <c r="E1314" s="1" t="str">
        <f t="shared" si="3"/>
        <v>At Current Prices</v>
      </c>
      <c r="F1314" s="3">
        <v>1.297815E8</v>
      </c>
    </row>
    <row r="1315" ht="15.75" customHeight="1">
      <c r="A1315" s="1" t="str">
        <f t="array" ref="A1315">INDEX(Reference!$A$2:$A$18, INT((ROW()-2)/(18*3*2)) + 1)</f>
        <v>NCR</v>
      </c>
      <c r="B1315" s="2" t="str">
        <f t="array" ref="B1315">INDEX(Reference!$C$2:$C$19, MOD(ROW()-2, 18) + 1)</f>
        <v>....Other services</v>
      </c>
      <c r="C1315" s="1" t="str">
        <f t="shared" si="1"/>
        <v>Sub</v>
      </c>
      <c r="D1315" s="1">
        <f t="shared" si="2"/>
        <v>2022</v>
      </c>
      <c r="E1315" s="1" t="str">
        <f t="shared" si="3"/>
        <v>At Current Prices</v>
      </c>
      <c r="F1315" s="3">
        <v>1.30790324E8</v>
      </c>
    </row>
    <row r="1316" ht="15.75" customHeight="1">
      <c r="A1316" s="1" t="str">
        <f t="array" ref="A1316">INDEX(Reference!$A$2:$A$18, INT((ROW()-2)/(18*3*2)) + 1)</f>
        <v>NCR</v>
      </c>
      <c r="B1316" s="2" t="str">
        <f t="array" ref="B1316">INDEX(Reference!$C$2:$C$19, MOD(ROW()-2, 18) + 1)</f>
        <v>..Agriculture, forestry, and fishing</v>
      </c>
      <c r="C1316" s="1" t="str">
        <f t="shared" si="1"/>
        <v>Main</v>
      </c>
      <c r="D1316" s="1">
        <f t="shared" si="2"/>
        <v>2023</v>
      </c>
      <c r="E1316" s="1" t="str">
        <f t="shared" si="3"/>
        <v>At Current Prices</v>
      </c>
      <c r="F1316" s="3">
        <v>622443.0</v>
      </c>
    </row>
    <row r="1317" ht="15.75" customHeight="1">
      <c r="A1317" s="1" t="str">
        <f t="array" ref="A1317">INDEX(Reference!$A$2:$A$18, INT((ROW()-2)/(18*3*2)) + 1)</f>
        <v>NCR</v>
      </c>
      <c r="B1317" s="2" t="str">
        <f t="array" ref="B1317">INDEX(Reference!$C$2:$C$19, MOD(ROW()-2, 18) + 1)</f>
        <v>..Industry</v>
      </c>
      <c r="C1317" s="1" t="str">
        <f t="shared" si="1"/>
        <v>Main</v>
      </c>
      <c r="D1317" s="1">
        <f t="shared" si="2"/>
        <v>2023</v>
      </c>
      <c r="E1317" s="1" t="str">
        <f t="shared" si="3"/>
        <v>At Current Prices</v>
      </c>
      <c r="F1317" s="3">
        <v>1.296616855E9</v>
      </c>
    </row>
    <row r="1318" ht="15.75" customHeight="1">
      <c r="A1318" s="1" t="str">
        <f t="array" ref="A1318">INDEX(Reference!$A$2:$A$18, INT((ROW()-2)/(18*3*2)) + 1)</f>
        <v>NCR</v>
      </c>
      <c r="B1318" s="2" t="str">
        <f t="array" ref="B1318">INDEX(Reference!$C$2:$C$19, MOD(ROW()-2, 18) + 1)</f>
        <v>....Mining and quarrying</v>
      </c>
      <c r="C1318" s="1" t="str">
        <f t="shared" si="1"/>
        <v>Sub</v>
      </c>
      <c r="D1318" s="1">
        <f t="shared" si="2"/>
        <v>2023</v>
      </c>
      <c r="E1318" s="1" t="str">
        <f t="shared" si="3"/>
        <v>At Current Prices</v>
      </c>
      <c r="F1318" s="3">
        <v>454250.0</v>
      </c>
    </row>
    <row r="1319" ht="15.75" customHeight="1">
      <c r="A1319" s="1" t="str">
        <f t="array" ref="A1319">INDEX(Reference!$A$2:$A$18, INT((ROW()-2)/(18*3*2)) + 1)</f>
        <v>NCR</v>
      </c>
      <c r="B1319" s="2" t="str">
        <f t="array" ref="B1319">INDEX(Reference!$C$2:$C$19, MOD(ROW()-2, 18) + 1)</f>
        <v>....Manufacturing</v>
      </c>
      <c r="C1319" s="1" t="str">
        <f t="shared" si="1"/>
        <v>Sub</v>
      </c>
      <c r="D1319" s="1">
        <f t="shared" si="2"/>
        <v>2023</v>
      </c>
      <c r="E1319" s="1" t="str">
        <f t="shared" si="3"/>
        <v>At Current Prices</v>
      </c>
      <c r="F1319" s="3">
        <v>8.60407819E8</v>
      </c>
    </row>
    <row r="1320" ht="15.75" customHeight="1">
      <c r="A1320" s="1" t="str">
        <f t="array" ref="A1320">INDEX(Reference!$A$2:$A$18, INT((ROW()-2)/(18*3*2)) + 1)</f>
        <v>NCR</v>
      </c>
      <c r="B1320" s="2" t="str">
        <f t="array" ref="B1320">INDEX(Reference!$C$2:$C$19, MOD(ROW()-2, 18) + 1)</f>
        <v>....Electricity, steam, water and waste management</v>
      </c>
      <c r="C1320" s="1" t="str">
        <f t="shared" si="1"/>
        <v>Sub</v>
      </c>
      <c r="D1320" s="1">
        <f t="shared" si="2"/>
        <v>2023</v>
      </c>
      <c r="E1320" s="1" t="str">
        <f t="shared" si="3"/>
        <v>At Current Prices</v>
      </c>
      <c r="F1320" s="3">
        <v>1.13062914E8</v>
      </c>
    </row>
    <row r="1321" ht="15.75" customHeight="1">
      <c r="A1321" s="1" t="str">
        <f t="array" ref="A1321">INDEX(Reference!$A$2:$A$18, INT((ROW()-2)/(18*3*2)) + 1)</f>
        <v>NCR</v>
      </c>
      <c r="B1321" s="2" t="str">
        <f t="array" ref="B1321">INDEX(Reference!$C$2:$C$19, MOD(ROW()-2, 18) + 1)</f>
        <v>....Construction</v>
      </c>
      <c r="C1321" s="1" t="str">
        <f t="shared" si="1"/>
        <v>Sub</v>
      </c>
      <c r="D1321" s="1">
        <f t="shared" si="2"/>
        <v>2023</v>
      </c>
      <c r="E1321" s="1" t="str">
        <f t="shared" si="3"/>
        <v>At Current Prices</v>
      </c>
      <c r="F1321" s="3">
        <v>3.22691873E8</v>
      </c>
    </row>
    <row r="1322" ht="15.75" customHeight="1">
      <c r="A1322" s="1" t="str">
        <f t="array" ref="A1322">INDEX(Reference!$A$2:$A$18, INT((ROW()-2)/(18*3*2)) + 1)</f>
        <v>NCR</v>
      </c>
      <c r="B1322" s="2" t="str">
        <f t="array" ref="B1322">INDEX(Reference!$C$2:$C$19, MOD(ROW()-2, 18) + 1)</f>
        <v>..Services</v>
      </c>
      <c r="C1322" s="1" t="str">
        <f t="shared" si="1"/>
        <v>Main</v>
      </c>
      <c r="D1322" s="1">
        <f t="shared" si="2"/>
        <v>2023</v>
      </c>
      <c r="E1322" s="1" t="str">
        <f t="shared" si="3"/>
        <v>At Current Prices</v>
      </c>
      <c r="F1322" s="3">
        <v>6.275638406E9</v>
      </c>
    </row>
    <row r="1323" ht="15.75" customHeight="1">
      <c r="A1323" s="1" t="str">
        <f t="array" ref="A1323">INDEX(Reference!$A$2:$A$18, INT((ROW()-2)/(18*3*2)) + 1)</f>
        <v>NCR</v>
      </c>
      <c r="B1323" s="2" t="str">
        <f t="array" ref="B1323">INDEX(Reference!$C$2:$C$19, MOD(ROW()-2, 18) + 1)</f>
        <v>....Wholesale and retail trade; repair of motor vehicles and motorcycles</v>
      </c>
      <c r="C1323" s="1" t="str">
        <f t="shared" si="1"/>
        <v>Sub</v>
      </c>
      <c r="D1323" s="1">
        <f t="shared" si="2"/>
        <v>2023</v>
      </c>
      <c r="E1323" s="1" t="str">
        <f t="shared" si="3"/>
        <v>At Current Prices</v>
      </c>
      <c r="F1323" s="3">
        <v>1.714443309E9</v>
      </c>
    </row>
    <row r="1324" ht="15.75" customHeight="1">
      <c r="A1324" s="1" t="str">
        <f t="array" ref="A1324">INDEX(Reference!$A$2:$A$18, INT((ROW()-2)/(18*3*2)) + 1)</f>
        <v>NCR</v>
      </c>
      <c r="B1324" s="2" t="str">
        <f t="array" ref="B1324">INDEX(Reference!$C$2:$C$19, MOD(ROW()-2, 18) + 1)</f>
        <v>....Transportation and storage</v>
      </c>
      <c r="C1324" s="1" t="str">
        <f t="shared" si="1"/>
        <v>Sub</v>
      </c>
      <c r="D1324" s="1">
        <f t="shared" si="2"/>
        <v>2023</v>
      </c>
      <c r="E1324" s="1" t="str">
        <f t="shared" si="3"/>
        <v>At Current Prices</v>
      </c>
      <c r="F1324" s="3">
        <v>1.87360183E8</v>
      </c>
    </row>
    <row r="1325" ht="15.75" customHeight="1">
      <c r="A1325" s="1" t="str">
        <f t="array" ref="A1325">INDEX(Reference!$A$2:$A$18, INT((ROW()-2)/(18*3*2)) + 1)</f>
        <v>NCR</v>
      </c>
      <c r="B1325" s="2" t="str">
        <f t="array" ref="B1325">INDEX(Reference!$C$2:$C$19, MOD(ROW()-2, 18) + 1)</f>
        <v>....Accommodation and food service activities</v>
      </c>
      <c r="C1325" s="1" t="str">
        <f t="shared" si="1"/>
        <v>Sub</v>
      </c>
      <c r="D1325" s="1">
        <f t="shared" si="2"/>
        <v>2023</v>
      </c>
      <c r="E1325" s="1" t="str">
        <f t="shared" si="3"/>
        <v>At Current Prices</v>
      </c>
      <c r="F1325" s="3">
        <v>9.7436106E7</v>
      </c>
    </row>
    <row r="1326" ht="15.75" customHeight="1">
      <c r="A1326" s="1" t="str">
        <f t="array" ref="A1326">INDEX(Reference!$A$2:$A$18, INT((ROW()-2)/(18*3*2)) + 1)</f>
        <v>NCR</v>
      </c>
      <c r="B1326" s="2" t="str">
        <f t="array" ref="B1326">INDEX(Reference!$C$2:$C$19, MOD(ROW()-2, 18) + 1)</f>
        <v>....Information and communication</v>
      </c>
      <c r="C1326" s="1" t="str">
        <f t="shared" si="1"/>
        <v>Sub</v>
      </c>
      <c r="D1326" s="1">
        <f t="shared" si="2"/>
        <v>2023</v>
      </c>
      <c r="E1326" s="1" t="str">
        <f t="shared" si="3"/>
        <v>At Current Prices</v>
      </c>
      <c r="F1326" s="3">
        <v>1.71684049E8</v>
      </c>
    </row>
    <row r="1327" ht="15.75" customHeight="1">
      <c r="A1327" s="1" t="str">
        <f t="array" ref="A1327">INDEX(Reference!$A$2:$A$18, INT((ROW()-2)/(18*3*2)) + 1)</f>
        <v>NCR</v>
      </c>
      <c r="B1327" s="2" t="str">
        <f t="array" ref="B1327">INDEX(Reference!$C$2:$C$19, MOD(ROW()-2, 18) + 1)</f>
        <v>....Financial and insurance activities</v>
      </c>
      <c r="C1327" s="1" t="str">
        <f t="shared" si="1"/>
        <v>Sub</v>
      </c>
      <c r="D1327" s="1">
        <f t="shared" si="2"/>
        <v>2023</v>
      </c>
      <c r="E1327" s="1" t="str">
        <f t="shared" si="3"/>
        <v>At Current Prices</v>
      </c>
      <c r="F1327" s="3">
        <v>1.532702261E9</v>
      </c>
    </row>
    <row r="1328" ht="15.75" customHeight="1">
      <c r="A1328" s="1" t="str">
        <f t="array" ref="A1328">INDEX(Reference!$A$2:$A$18, INT((ROW()-2)/(18*3*2)) + 1)</f>
        <v>NCR</v>
      </c>
      <c r="B1328" s="2" t="str">
        <f t="array" ref="B1328">INDEX(Reference!$C$2:$C$19, MOD(ROW()-2, 18) + 1)</f>
        <v>....Real estate and ownership of dwellings</v>
      </c>
      <c r="C1328" s="1" t="str">
        <f t="shared" si="1"/>
        <v>Sub</v>
      </c>
      <c r="D1328" s="1">
        <f t="shared" si="2"/>
        <v>2023</v>
      </c>
      <c r="E1328" s="1" t="str">
        <f t="shared" si="3"/>
        <v>At Current Prices</v>
      </c>
      <c r="F1328" s="3">
        <v>4.71237343E8</v>
      </c>
    </row>
    <row r="1329" ht="15.75" customHeight="1">
      <c r="A1329" s="1" t="str">
        <f t="array" ref="A1329">INDEX(Reference!$A$2:$A$18, INT((ROW()-2)/(18*3*2)) + 1)</f>
        <v>NCR</v>
      </c>
      <c r="B1329" s="2" t="str">
        <f t="array" ref="B1329">INDEX(Reference!$C$2:$C$19, MOD(ROW()-2, 18) + 1)</f>
        <v>....Professional and business services</v>
      </c>
      <c r="C1329" s="1" t="str">
        <f t="shared" si="1"/>
        <v>Sub</v>
      </c>
      <c r="D1329" s="1">
        <f t="shared" si="2"/>
        <v>2023</v>
      </c>
      <c r="E1329" s="1" t="str">
        <f t="shared" si="3"/>
        <v>At Current Prices</v>
      </c>
      <c r="F1329" s="3">
        <v>9.79208951E8</v>
      </c>
    </row>
    <row r="1330" ht="15.75" customHeight="1">
      <c r="A1330" s="1" t="str">
        <f t="array" ref="A1330">INDEX(Reference!$A$2:$A$18, INT((ROW()-2)/(18*3*2)) + 1)</f>
        <v>NCR</v>
      </c>
      <c r="B1330" s="2" t="str">
        <f t="array" ref="B1330">INDEX(Reference!$C$2:$C$19, MOD(ROW()-2, 18) + 1)</f>
        <v>....Public administration and defense; compulsory social activities</v>
      </c>
      <c r="C1330" s="1" t="str">
        <f t="shared" si="1"/>
        <v>Sub</v>
      </c>
      <c r="D1330" s="1">
        <f t="shared" si="2"/>
        <v>2023</v>
      </c>
      <c r="E1330" s="1" t="str">
        <f t="shared" si="3"/>
        <v>At Current Prices</v>
      </c>
      <c r="F1330" s="3">
        <v>6.53121938E8</v>
      </c>
    </row>
    <row r="1331" ht="15.75" customHeight="1">
      <c r="A1331" s="1" t="str">
        <f t="array" ref="A1331">INDEX(Reference!$A$2:$A$18, INT((ROW()-2)/(18*3*2)) + 1)</f>
        <v>NCR</v>
      </c>
      <c r="B1331" s="2" t="str">
        <f t="array" ref="B1331">INDEX(Reference!$C$2:$C$19, MOD(ROW()-2, 18) + 1)</f>
        <v>....Education</v>
      </c>
      <c r="C1331" s="1" t="str">
        <f t="shared" si="1"/>
        <v>Sub</v>
      </c>
      <c r="D1331" s="1">
        <f t="shared" si="2"/>
        <v>2023</v>
      </c>
      <c r="E1331" s="1" t="str">
        <f t="shared" si="3"/>
        <v>At Current Prices</v>
      </c>
      <c r="F1331" s="3">
        <v>1.58683762E8</v>
      </c>
    </row>
    <row r="1332" ht="15.75" customHeight="1">
      <c r="A1332" s="1" t="str">
        <f t="array" ref="A1332">INDEX(Reference!$A$2:$A$18, INT((ROW()-2)/(18*3*2)) + 1)</f>
        <v>NCR</v>
      </c>
      <c r="B1332" s="2" t="str">
        <f t="array" ref="B1332">INDEX(Reference!$C$2:$C$19, MOD(ROW()-2, 18) + 1)</f>
        <v>....Human health and social work activities</v>
      </c>
      <c r="C1332" s="1" t="str">
        <f t="shared" si="1"/>
        <v>Sub</v>
      </c>
      <c r="D1332" s="1">
        <f t="shared" si="2"/>
        <v>2023</v>
      </c>
      <c r="E1332" s="1" t="str">
        <f t="shared" si="3"/>
        <v>At Current Prices</v>
      </c>
      <c r="F1332" s="3">
        <v>1.46604351E8</v>
      </c>
    </row>
    <row r="1333" ht="15.75" customHeight="1">
      <c r="A1333" s="1" t="str">
        <f t="array" ref="A1333">INDEX(Reference!$A$2:$A$18, INT((ROW()-2)/(18*3*2)) + 1)</f>
        <v>NCR</v>
      </c>
      <c r="B1333" s="2" t="str">
        <f t="array" ref="B1333">INDEX(Reference!$C$2:$C$19, MOD(ROW()-2, 18) + 1)</f>
        <v>....Other services</v>
      </c>
      <c r="C1333" s="1" t="str">
        <f t="shared" si="1"/>
        <v>Sub</v>
      </c>
      <c r="D1333" s="1">
        <f t="shared" si="2"/>
        <v>2023</v>
      </c>
      <c r="E1333" s="1" t="str">
        <f t="shared" si="3"/>
        <v>At Current Prices</v>
      </c>
      <c r="F1333" s="3">
        <v>1.63156153E8</v>
      </c>
    </row>
    <row r="1334" ht="15.75" customHeight="1">
      <c r="A1334" s="1" t="str">
        <f t="array" ref="A1334">INDEX(Reference!$A$2:$A$18, INT((ROW()-2)/(18*3*2)) + 1)</f>
        <v>NCR</v>
      </c>
      <c r="B1334" s="2" t="str">
        <f t="array" ref="B1334">INDEX(Reference!$C$2:$C$19, MOD(ROW()-2, 18) + 1)</f>
        <v>..Agriculture, forestry, and fishing</v>
      </c>
      <c r="C1334" s="1" t="str">
        <f t="shared" si="1"/>
        <v>Main</v>
      </c>
      <c r="D1334" s="1">
        <f t="shared" si="2"/>
        <v>2024</v>
      </c>
      <c r="E1334" s="1" t="str">
        <f t="shared" si="3"/>
        <v>At Current Prices</v>
      </c>
      <c r="F1334" s="3">
        <v>672923.0</v>
      </c>
    </row>
    <row r="1335" ht="15.75" customHeight="1">
      <c r="A1335" s="1" t="str">
        <f t="array" ref="A1335">INDEX(Reference!$A$2:$A$18, INT((ROW()-2)/(18*3*2)) + 1)</f>
        <v>NCR</v>
      </c>
      <c r="B1335" s="2" t="str">
        <f t="array" ref="B1335">INDEX(Reference!$C$2:$C$19, MOD(ROW()-2, 18) + 1)</f>
        <v>..Industry</v>
      </c>
      <c r="C1335" s="1" t="str">
        <f t="shared" si="1"/>
        <v>Main</v>
      </c>
      <c r="D1335" s="1">
        <f t="shared" si="2"/>
        <v>2024</v>
      </c>
      <c r="E1335" s="1" t="str">
        <f t="shared" si="3"/>
        <v>At Current Prices</v>
      </c>
      <c r="F1335" s="3">
        <v>1.371555092E9</v>
      </c>
    </row>
    <row r="1336" ht="15.75" customHeight="1">
      <c r="A1336" s="1" t="str">
        <f t="array" ref="A1336">INDEX(Reference!$A$2:$A$18, INT((ROW()-2)/(18*3*2)) + 1)</f>
        <v>NCR</v>
      </c>
      <c r="B1336" s="2" t="str">
        <f t="array" ref="B1336">INDEX(Reference!$C$2:$C$19, MOD(ROW()-2, 18) + 1)</f>
        <v>....Mining and quarrying</v>
      </c>
      <c r="C1336" s="1" t="str">
        <f t="shared" si="1"/>
        <v>Sub</v>
      </c>
      <c r="D1336" s="1">
        <f t="shared" si="2"/>
        <v>2024</v>
      </c>
      <c r="E1336" s="1" t="str">
        <f t="shared" si="3"/>
        <v>At Current Prices</v>
      </c>
      <c r="F1336" s="3">
        <v>465468.0</v>
      </c>
    </row>
    <row r="1337" ht="15.75" customHeight="1">
      <c r="A1337" s="1" t="str">
        <f t="array" ref="A1337">INDEX(Reference!$A$2:$A$18, INT((ROW()-2)/(18*3*2)) + 1)</f>
        <v>NCR</v>
      </c>
      <c r="B1337" s="2" t="str">
        <f t="array" ref="B1337">INDEX(Reference!$C$2:$C$19, MOD(ROW()-2, 18) + 1)</f>
        <v>....Manufacturing</v>
      </c>
      <c r="C1337" s="1" t="str">
        <f t="shared" si="1"/>
        <v>Sub</v>
      </c>
      <c r="D1337" s="1">
        <f t="shared" si="2"/>
        <v>2024</v>
      </c>
      <c r="E1337" s="1" t="str">
        <f t="shared" si="3"/>
        <v>At Current Prices</v>
      </c>
      <c r="F1337" s="3">
        <v>8.94213206E8</v>
      </c>
    </row>
    <row r="1338" ht="15.75" customHeight="1">
      <c r="A1338" s="1" t="str">
        <f t="array" ref="A1338">INDEX(Reference!$A$2:$A$18, INT((ROW()-2)/(18*3*2)) + 1)</f>
        <v>NCR</v>
      </c>
      <c r="B1338" s="2" t="str">
        <f t="array" ref="B1338">INDEX(Reference!$C$2:$C$19, MOD(ROW()-2, 18) + 1)</f>
        <v>....Electricity, steam, water and waste management</v>
      </c>
      <c r="C1338" s="1" t="str">
        <f t="shared" si="1"/>
        <v>Sub</v>
      </c>
      <c r="D1338" s="1">
        <f t="shared" si="2"/>
        <v>2024</v>
      </c>
      <c r="E1338" s="1" t="str">
        <f t="shared" si="3"/>
        <v>At Current Prices</v>
      </c>
      <c r="F1338" s="3">
        <v>1.24437525E8</v>
      </c>
    </row>
    <row r="1339" ht="15.75" customHeight="1">
      <c r="A1339" s="1" t="str">
        <f t="array" ref="A1339">INDEX(Reference!$A$2:$A$18, INT((ROW()-2)/(18*3*2)) + 1)</f>
        <v>NCR</v>
      </c>
      <c r="B1339" s="2" t="str">
        <f t="array" ref="B1339">INDEX(Reference!$C$2:$C$19, MOD(ROW()-2, 18) + 1)</f>
        <v>....Construction</v>
      </c>
      <c r="C1339" s="1" t="str">
        <f t="shared" si="1"/>
        <v>Sub</v>
      </c>
      <c r="D1339" s="1">
        <f t="shared" si="2"/>
        <v>2024</v>
      </c>
      <c r="E1339" s="1" t="str">
        <f t="shared" si="3"/>
        <v>At Current Prices</v>
      </c>
      <c r="F1339" s="3">
        <v>3.52438893E8</v>
      </c>
    </row>
    <row r="1340" ht="15.75" customHeight="1">
      <c r="A1340" s="1" t="str">
        <f t="array" ref="A1340">INDEX(Reference!$A$2:$A$18, INT((ROW()-2)/(18*3*2)) + 1)</f>
        <v>NCR</v>
      </c>
      <c r="B1340" s="2" t="str">
        <f t="array" ref="B1340">INDEX(Reference!$C$2:$C$19, MOD(ROW()-2, 18) + 1)</f>
        <v>..Services</v>
      </c>
      <c r="C1340" s="1" t="str">
        <f t="shared" si="1"/>
        <v>Main</v>
      </c>
      <c r="D1340" s="1">
        <f t="shared" si="2"/>
        <v>2024</v>
      </c>
      <c r="E1340" s="1" t="str">
        <f t="shared" si="3"/>
        <v>At Current Prices</v>
      </c>
      <c r="F1340" s="3">
        <v>6.842080341E9</v>
      </c>
    </row>
    <row r="1341" ht="15.75" customHeight="1">
      <c r="A1341" s="1" t="str">
        <f t="array" ref="A1341">INDEX(Reference!$A$2:$A$18, INT((ROW()-2)/(18*3*2)) + 1)</f>
        <v>NCR</v>
      </c>
      <c r="B1341" s="2" t="str">
        <f t="array" ref="B1341">INDEX(Reference!$C$2:$C$19, MOD(ROW()-2, 18) + 1)</f>
        <v>....Wholesale and retail trade; repair of motor vehicles and motorcycles</v>
      </c>
      <c r="C1341" s="1" t="str">
        <f t="shared" si="1"/>
        <v>Sub</v>
      </c>
      <c r="D1341" s="1">
        <f t="shared" si="2"/>
        <v>2024</v>
      </c>
      <c r="E1341" s="1" t="str">
        <f t="shared" si="3"/>
        <v>At Current Prices</v>
      </c>
      <c r="F1341" s="3">
        <v>1.839209166E9</v>
      </c>
    </row>
    <row r="1342" ht="15.75" customHeight="1">
      <c r="A1342" s="1" t="str">
        <f t="array" ref="A1342">INDEX(Reference!$A$2:$A$18, INT((ROW()-2)/(18*3*2)) + 1)</f>
        <v>NCR</v>
      </c>
      <c r="B1342" s="2" t="str">
        <f t="array" ref="B1342">INDEX(Reference!$C$2:$C$19, MOD(ROW()-2, 18) + 1)</f>
        <v>....Transportation and storage</v>
      </c>
      <c r="C1342" s="1" t="str">
        <f t="shared" si="1"/>
        <v>Sub</v>
      </c>
      <c r="D1342" s="1">
        <f t="shared" si="2"/>
        <v>2024</v>
      </c>
      <c r="E1342" s="1" t="str">
        <f t="shared" si="3"/>
        <v>At Current Prices</v>
      </c>
      <c r="F1342" s="3">
        <v>2.06023424E8</v>
      </c>
    </row>
    <row r="1343" ht="15.75" customHeight="1">
      <c r="A1343" s="1" t="str">
        <f t="array" ref="A1343">INDEX(Reference!$A$2:$A$18, INT((ROW()-2)/(18*3*2)) + 1)</f>
        <v>NCR</v>
      </c>
      <c r="B1343" s="2" t="str">
        <f t="array" ref="B1343">INDEX(Reference!$C$2:$C$19, MOD(ROW()-2, 18) + 1)</f>
        <v>....Accommodation and food service activities</v>
      </c>
      <c r="C1343" s="1" t="str">
        <f t="shared" si="1"/>
        <v>Sub</v>
      </c>
      <c r="D1343" s="1">
        <f t="shared" si="2"/>
        <v>2024</v>
      </c>
      <c r="E1343" s="1" t="str">
        <f t="shared" si="3"/>
        <v>At Current Prices</v>
      </c>
      <c r="F1343" s="3">
        <v>1.08932123E8</v>
      </c>
    </row>
    <row r="1344" ht="15.75" customHeight="1">
      <c r="A1344" s="1" t="str">
        <f t="array" ref="A1344">INDEX(Reference!$A$2:$A$18, INT((ROW()-2)/(18*3*2)) + 1)</f>
        <v>NCR</v>
      </c>
      <c r="B1344" s="2" t="str">
        <f t="array" ref="B1344">INDEX(Reference!$C$2:$C$19, MOD(ROW()-2, 18) + 1)</f>
        <v>....Information and communication</v>
      </c>
      <c r="C1344" s="1" t="str">
        <f t="shared" si="1"/>
        <v>Sub</v>
      </c>
      <c r="D1344" s="1">
        <f t="shared" si="2"/>
        <v>2024</v>
      </c>
      <c r="E1344" s="1" t="str">
        <f t="shared" si="3"/>
        <v>At Current Prices</v>
      </c>
      <c r="F1344" s="3">
        <v>1.79117746E8</v>
      </c>
    </row>
    <row r="1345" ht="15.75" customHeight="1">
      <c r="A1345" s="1" t="str">
        <f t="array" ref="A1345">INDEX(Reference!$A$2:$A$18, INT((ROW()-2)/(18*3*2)) + 1)</f>
        <v>NCR</v>
      </c>
      <c r="B1345" s="2" t="str">
        <f t="array" ref="B1345">INDEX(Reference!$C$2:$C$19, MOD(ROW()-2, 18) + 1)</f>
        <v>....Financial and insurance activities</v>
      </c>
      <c r="C1345" s="1" t="str">
        <f t="shared" si="1"/>
        <v>Sub</v>
      </c>
      <c r="D1345" s="1">
        <f t="shared" si="2"/>
        <v>2024</v>
      </c>
      <c r="E1345" s="1" t="str">
        <f t="shared" si="3"/>
        <v>At Current Prices</v>
      </c>
      <c r="F1345" s="3">
        <v>1.712280004E9</v>
      </c>
    </row>
    <row r="1346" ht="15.75" customHeight="1">
      <c r="A1346" s="1" t="str">
        <f t="array" ref="A1346">INDEX(Reference!$A$2:$A$18, INT((ROW()-2)/(18*3*2)) + 1)</f>
        <v>NCR</v>
      </c>
      <c r="B1346" s="2" t="str">
        <f t="array" ref="B1346">INDEX(Reference!$C$2:$C$19, MOD(ROW()-2, 18) + 1)</f>
        <v>....Real estate and ownership of dwellings</v>
      </c>
      <c r="C1346" s="1" t="str">
        <f t="shared" si="1"/>
        <v>Sub</v>
      </c>
      <c r="D1346" s="1">
        <f t="shared" si="2"/>
        <v>2024</v>
      </c>
      <c r="E1346" s="1" t="str">
        <f t="shared" si="3"/>
        <v>At Current Prices</v>
      </c>
      <c r="F1346" s="3">
        <v>5.08221572E8</v>
      </c>
    </row>
    <row r="1347" ht="15.75" customHeight="1">
      <c r="A1347" s="1" t="str">
        <f t="array" ref="A1347">INDEX(Reference!$A$2:$A$18, INT((ROW()-2)/(18*3*2)) + 1)</f>
        <v>NCR</v>
      </c>
      <c r="B1347" s="2" t="str">
        <f t="array" ref="B1347">INDEX(Reference!$C$2:$C$19, MOD(ROW()-2, 18) + 1)</f>
        <v>....Professional and business services</v>
      </c>
      <c r="C1347" s="1" t="str">
        <f t="shared" si="1"/>
        <v>Sub</v>
      </c>
      <c r="D1347" s="1">
        <f t="shared" si="2"/>
        <v>2024</v>
      </c>
      <c r="E1347" s="1" t="str">
        <f t="shared" si="3"/>
        <v>At Current Prices</v>
      </c>
      <c r="F1347" s="3">
        <v>1.075317881E9</v>
      </c>
    </row>
    <row r="1348" ht="15.75" customHeight="1">
      <c r="A1348" s="1" t="str">
        <f t="array" ref="A1348">INDEX(Reference!$A$2:$A$18, INT((ROW()-2)/(18*3*2)) + 1)</f>
        <v>NCR</v>
      </c>
      <c r="B1348" s="2" t="str">
        <f t="array" ref="B1348">INDEX(Reference!$C$2:$C$19, MOD(ROW()-2, 18) + 1)</f>
        <v>....Public administration and defense; compulsory social activities</v>
      </c>
      <c r="C1348" s="1" t="str">
        <f t="shared" si="1"/>
        <v>Sub</v>
      </c>
      <c r="D1348" s="1">
        <f t="shared" si="2"/>
        <v>2024</v>
      </c>
      <c r="E1348" s="1" t="str">
        <f t="shared" si="3"/>
        <v>At Current Prices</v>
      </c>
      <c r="F1348" s="3">
        <v>6.90614329E8</v>
      </c>
    </row>
    <row r="1349" ht="15.75" customHeight="1">
      <c r="A1349" s="1" t="str">
        <f t="array" ref="A1349">INDEX(Reference!$A$2:$A$18, INT((ROW()-2)/(18*3*2)) + 1)</f>
        <v>NCR</v>
      </c>
      <c r="B1349" s="2" t="str">
        <f t="array" ref="B1349">INDEX(Reference!$C$2:$C$19, MOD(ROW()-2, 18) + 1)</f>
        <v>....Education</v>
      </c>
      <c r="C1349" s="1" t="str">
        <f t="shared" si="1"/>
        <v>Sub</v>
      </c>
      <c r="D1349" s="1">
        <f t="shared" si="2"/>
        <v>2024</v>
      </c>
      <c r="E1349" s="1" t="str">
        <f t="shared" si="3"/>
        <v>At Current Prices</v>
      </c>
      <c r="F1349" s="3">
        <v>1.74135238E8</v>
      </c>
    </row>
    <row r="1350" ht="15.75" customHeight="1">
      <c r="A1350" s="1" t="str">
        <f t="array" ref="A1350">INDEX(Reference!$A$2:$A$18, INT((ROW()-2)/(18*3*2)) + 1)</f>
        <v>NCR</v>
      </c>
      <c r="B1350" s="2" t="str">
        <f t="array" ref="B1350">INDEX(Reference!$C$2:$C$19, MOD(ROW()-2, 18) + 1)</f>
        <v>....Human health and social work activities</v>
      </c>
      <c r="C1350" s="1" t="str">
        <f t="shared" si="1"/>
        <v>Sub</v>
      </c>
      <c r="D1350" s="1">
        <f t="shared" si="2"/>
        <v>2024</v>
      </c>
      <c r="E1350" s="1" t="str">
        <f t="shared" si="3"/>
        <v>At Current Prices</v>
      </c>
      <c r="F1350" s="3">
        <v>1.65183067E8</v>
      </c>
    </row>
    <row r="1351" ht="15.75" customHeight="1">
      <c r="A1351" s="1" t="str">
        <f t="array" ref="A1351">INDEX(Reference!$A$2:$A$18, INT((ROW()-2)/(18*3*2)) + 1)</f>
        <v>NCR</v>
      </c>
      <c r="B1351" s="2" t="str">
        <f t="array" ref="B1351">INDEX(Reference!$C$2:$C$19, MOD(ROW()-2, 18) + 1)</f>
        <v>....Other services</v>
      </c>
      <c r="C1351" s="1" t="str">
        <f t="shared" si="1"/>
        <v>Sub</v>
      </c>
      <c r="D1351" s="1">
        <f t="shared" si="2"/>
        <v>2024</v>
      </c>
      <c r="E1351" s="1" t="str">
        <f t="shared" si="3"/>
        <v>At Current Prices</v>
      </c>
      <c r="F1351" s="3">
        <v>1.83045793E8</v>
      </c>
    </row>
    <row r="1352" ht="15.75" customHeight="1">
      <c r="A1352" s="1" t="str">
        <f t="array" ref="A1352">INDEX(Reference!$A$2:$A$18, INT((ROW()-2)/(18*3*2)) + 1)</f>
        <v>NCR</v>
      </c>
      <c r="B1352" s="2" t="str">
        <f t="array" ref="B1352">INDEX(Reference!$C$2:$C$19, MOD(ROW()-2, 18) + 1)</f>
        <v>..Agriculture, forestry, and fishing</v>
      </c>
      <c r="C1352" s="1" t="str">
        <f t="shared" si="1"/>
        <v>Main</v>
      </c>
      <c r="D1352" s="1">
        <f t="shared" si="2"/>
        <v>2022</v>
      </c>
      <c r="E1352" s="1" t="str">
        <f t="shared" si="3"/>
        <v>At Constant 2018 Prices</v>
      </c>
      <c r="F1352" s="3">
        <v>434213.0</v>
      </c>
    </row>
    <row r="1353" ht="15.75" customHeight="1">
      <c r="A1353" s="1" t="str">
        <f t="array" ref="A1353">INDEX(Reference!$A$2:$A$18, INT((ROW()-2)/(18*3*2)) + 1)</f>
        <v>NCR</v>
      </c>
      <c r="B1353" s="2" t="str">
        <f t="array" ref="B1353">INDEX(Reference!$C$2:$C$19, MOD(ROW()-2, 18) + 1)</f>
        <v>..Industry</v>
      </c>
      <c r="C1353" s="1" t="str">
        <f t="shared" si="1"/>
        <v>Main</v>
      </c>
      <c r="D1353" s="1">
        <f t="shared" si="2"/>
        <v>2022</v>
      </c>
      <c r="E1353" s="1" t="str">
        <f t="shared" si="3"/>
        <v>At Constant 2018 Prices</v>
      </c>
      <c r="F1353" s="3">
        <v>1.124146039E9</v>
      </c>
    </row>
    <row r="1354" ht="15.75" customHeight="1">
      <c r="A1354" s="1" t="str">
        <f t="array" ref="A1354">INDEX(Reference!$A$2:$A$18, INT((ROW()-2)/(18*3*2)) + 1)</f>
        <v>NCR</v>
      </c>
      <c r="B1354" s="2" t="str">
        <f t="array" ref="B1354">INDEX(Reference!$C$2:$C$19, MOD(ROW()-2, 18) + 1)</f>
        <v>....Mining and quarrying</v>
      </c>
      <c r="C1354" s="1" t="str">
        <f t="shared" si="1"/>
        <v>Sub</v>
      </c>
      <c r="D1354" s="1">
        <f t="shared" si="2"/>
        <v>2022</v>
      </c>
      <c r="E1354" s="1" t="str">
        <f t="shared" si="3"/>
        <v>At Constant 2018 Prices</v>
      </c>
      <c r="F1354" s="3">
        <v>446116.0</v>
      </c>
    </row>
    <row r="1355" ht="15.75" customHeight="1">
      <c r="A1355" s="1" t="str">
        <f t="array" ref="A1355">INDEX(Reference!$A$2:$A$18, INT((ROW()-2)/(18*3*2)) + 1)</f>
        <v>NCR</v>
      </c>
      <c r="B1355" s="2" t="str">
        <f t="array" ref="B1355">INDEX(Reference!$C$2:$C$19, MOD(ROW()-2, 18) + 1)</f>
        <v>....Manufacturing</v>
      </c>
      <c r="C1355" s="1" t="str">
        <f t="shared" si="1"/>
        <v>Sub</v>
      </c>
      <c r="D1355" s="1">
        <f t="shared" si="2"/>
        <v>2022</v>
      </c>
      <c r="E1355" s="1" t="str">
        <f t="shared" si="3"/>
        <v>At Constant 2018 Prices</v>
      </c>
      <c r="F1355" s="3">
        <v>7.82076303E8</v>
      </c>
    </row>
    <row r="1356" ht="15.75" customHeight="1">
      <c r="A1356" s="1" t="str">
        <f t="array" ref="A1356">INDEX(Reference!$A$2:$A$18, INT((ROW()-2)/(18*3*2)) + 1)</f>
        <v>NCR</v>
      </c>
      <c r="B1356" s="2" t="str">
        <f t="array" ref="B1356">INDEX(Reference!$C$2:$C$19, MOD(ROW()-2, 18) + 1)</f>
        <v>....Electricity, steam, water and waste management</v>
      </c>
      <c r="C1356" s="1" t="str">
        <f t="shared" si="1"/>
        <v>Sub</v>
      </c>
      <c r="D1356" s="1">
        <f t="shared" si="2"/>
        <v>2022</v>
      </c>
      <c r="E1356" s="1" t="str">
        <f t="shared" si="3"/>
        <v>At Constant 2018 Prices</v>
      </c>
      <c r="F1356" s="3">
        <v>8.9046205E7</v>
      </c>
    </row>
    <row r="1357" ht="15.75" customHeight="1">
      <c r="A1357" s="1" t="str">
        <f t="array" ref="A1357">INDEX(Reference!$A$2:$A$18, INT((ROW()-2)/(18*3*2)) + 1)</f>
        <v>NCR</v>
      </c>
      <c r="B1357" s="2" t="str">
        <f t="array" ref="B1357">INDEX(Reference!$C$2:$C$19, MOD(ROW()-2, 18) + 1)</f>
        <v>....Construction</v>
      </c>
      <c r="C1357" s="1" t="str">
        <f t="shared" si="1"/>
        <v>Sub</v>
      </c>
      <c r="D1357" s="1">
        <f t="shared" si="2"/>
        <v>2022</v>
      </c>
      <c r="E1357" s="1" t="str">
        <f t="shared" si="3"/>
        <v>At Constant 2018 Prices</v>
      </c>
      <c r="F1357" s="3">
        <v>2.52577414E8</v>
      </c>
    </row>
    <row r="1358" ht="15.75" customHeight="1">
      <c r="A1358" s="1" t="str">
        <f t="array" ref="A1358">INDEX(Reference!$A$2:$A$18, INT((ROW()-2)/(18*3*2)) + 1)</f>
        <v>NCR</v>
      </c>
      <c r="B1358" s="2" t="str">
        <f t="array" ref="B1358">INDEX(Reference!$C$2:$C$19, MOD(ROW()-2, 18) + 1)</f>
        <v>..Services</v>
      </c>
      <c r="C1358" s="1" t="str">
        <f t="shared" si="1"/>
        <v>Main</v>
      </c>
      <c r="D1358" s="1">
        <f t="shared" si="2"/>
        <v>2022</v>
      </c>
      <c r="E1358" s="1" t="str">
        <f t="shared" si="3"/>
        <v>At Constant 2018 Prices</v>
      </c>
      <c r="F1358" s="3">
        <v>5.143771279E9</v>
      </c>
    </row>
    <row r="1359" ht="15.75" customHeight="1">
      <c r="A1359" s="1" t="str">
        <f t="array" ref="A1359">INDEX(Reference!$A$2:$A$18, INT((ROW()-2)/(18*3*2)) + 1)</f>
        <v>NCR</v>
      </c>
      <c r="B1359" s="2" t="str">
        <f t="array" ref="B1359">INDEX(Reference!$C$2:$C$19, MOD(ROW()-2, 18) + 1)</f>
        <v>....Wholesale and retail trade; repair of motor vehicles and motorcycles</v>
      </c>
      <c r="C1359" s="1" t="str">
        <f t="shared" si="1"/>
        <v>Sub</v>
      </c>
      <c r="D1359" s="1">
        <f t="shared" si="2"/>
        <v>2022</v>
      </c>
      <c r="E1359" s="1" t="str">
        <f t="shared" si="3"/>
        <v>At Constant 2018 Prices</v>
      </c>
      <c r="F1359" s="3">
        <v>1.438653876E9</v>
      </c>
    </row>
    <row r="1360" ht="15.75" customHeight="1">
      <c r="A1360" s="1" t="str">
        <f t="array" ref="A1360">INDEX(Reference!$A$2:$A$18, INT((ROW()-2)/(18*3*2)) + 1)</f>
        <v>NCR</v>
      </c>
      <c r="B1360" s="2" t="str">
        <f t="array" ref="B1360">INDEX(Reference!$C$2:$C$19, MOD(ROW()-2, 18) + 1)</f>
        <v>....Transportation and storage</v>
      </c>
      <c r="C1360" s="1" t="str">
        <f t="shared" si="1"/>
        <v>Sub</v>
      </c>
      <c r="D1360" s="1">
        <f t="shared" si="2"/>
        <v>2022</v>
      </c>
      <c r="E1360" s="1" t="str">
        <f t="shared" si="3"/>
        <v>At Constant 2018 Prices</v>
      </c>
      <c r="F1360" s="3">
        <v>1.5031751E8</v>
      </c>
    </row>
    <row r="1361" ht="15.75" customHeight="1">
      <c r="A1361" s="1" t="str">
        <f t="array" ref="A1361">INDEX(Reference!$A$2:$A$18, INT((ROW()-2)/(18*3*2)) + 1)</f>
        <v>NCR</v>
      </c>
      <c r="B1361" s="2" t="str">
        <f t="array" ref="B1361">INDEX(Reference!$C$2:$C$19, MOD(ROW()-2, 18) + 1)</f>
        <v>....Accommodation and food service activities</v>
      </c>
      <c r="C1361" s="1" t="str">
        <f t="shared" si="1"/>
        <v>Sub</v>
      </c>
      <c r="D1361" s="1">
        <f t="shared" si="2"/>
        <v>2022</v>
      </c>
      <c r="E1361" s="1" t="str">
        <f t="shared" si="3"/>
        <v>At Constant 2018 Prices</v>
      </c>
      <c r="F1361" s="3">
        <v>6.4488682E7</v>
      </c>
    </row>
    <row r="1362" ht="15.75" customHeight="1">
      <c r="A1362" s="1" t="str">
        <f t="array" ref="A1362">INDEX(Reference!$A$2:$A$18, INT((ROW()-2)/(18*3*2)) + 1)</f>
        <v>NCR</v>
      </c>
      <c r="B1362" s="2" t="str">
        <f t="array" ref="B1362">INDEX(Reference!$C$2:$C$19, MOD(ROW()-2, 18) + 1)</f>
        <v>....Information and communication</v>
      </c>
      <c r="C1362" s="1" t="str">
        <f t="shared" si="1"/>
        <v>Sub</v>
      </c>
      <c r="D1362" s="1">
        <f t="shared" si="2"/>
        <v>2022</v>
      </c>
      <c r="E1362" s="1" t="str">
        <f t="shared" si="3"/>
        <v>At Constant 2018 Prices</v>
      </c>
      <c r="F1362" s="3">
        <v>1.63187323E8</v>
      </c>
    </row>
    <row r="1363" ht="15.75" customHeight="1">
      <c r="A1363" s="1" t="str">
        <f t="array" ref="A1363">INDEX(Reference!$A$2:$A$18, INT((ROW()-2)/(18*3*2)) + 1)</f>
        <v>NCR</v>
      </c>
      <c r="B1363" s="2" t="str">
        <f t="array" ref="B1363">INDEX(Reference!$C$2:$C$19, MOD(ROW()-2, 18) + 1)</f>
        <v>....Financial and insurance activities</v>
      </c>
      <c r="C1363" s="1" t="str">
        <f t="shared" si="1"/>
        <v>Sub</v>
      </c>
      <c r="D1363" s="1">
        <f t="shared" si="2"/>
        <v>2022</v>
      </c>
      <c r="E1363" s="1" t="str">
        <f t="shared" si="3"/>
        <v>At Constant 2018 Prices</v>
      </c>
      <c r="F1363" s="3">
        <v>1.206136965E9</v>
      </c>
    </row>
    <row r="1364" ht="15.75" customHeight="1">
      <c r="A1364" s="1" t="str">
        <f t="array" ref="A1364">INDEX(Reference!$A$2:$A$18, INT((ROW()-2)/(18*3*2)) + 1)</f>
        <v>NCR</v>
      </c>
      <c r="B1364" s="2" t="str">
        <f t="array" ref="B1364">INDEX(Reference!$C$2:$C$19, MOD(ROW()-2, 18) + 1)</f>
        <v>....Real estate and ownership of dwellings</v>
      </c>
      <c r="C1364" s="1" t="str">
        <f t="shared" si="1"/>
        <v>Sub</v>
      </c>
      <c r="D1364" s="1">
        <f t="shared" si="2"/>
        <v>2022</v>
      </c>
      <c r="E1364" s="1" t="str">
        <f t="shared" si="3"/>
        <v>At Constant 2018 Prices</v>
      </c>
      <c r="F1364" s="3">
        <v>3.84866755E8</v>
      </c>
    </row>
    <row r="1365" ht="15.75" customHeight="1">
      <c r="A1365" s="1" t="str">
        <f t="array" ref="A1365">INDEX(Reference!$A$2:$A$18, INT((ROW()-2)/(18*3*2)) + 1)</f>
        <v>NCR</v>
      </c>
      <c r="B1365" s="2" t="str">
        <f t="array" ref="B1365">INDEX(Reference!$C$2:$C$19, MOD(ROW()-2, 18) + 1)</f>
        <v>....Professional and business services</v>
      </c>
      <c r="C1365" s="1" t="str">
        <f t="shared" si="1"/>
        <v>Sub</v>
      </c>
      <c r="D1365" s="1">
        <f t="shared" si="2"/>
        <v>2022</v>
      </c>
      <c r="E1365" s="1" t="str">
        <f t="shared" si="3"/>
        <v>At Constant 2018 Prices</v>
      </c>
      <c r="F1365" s="3">
        <v>8.04942823E8</v>
      </c>
    </row>
    <row r="1366" ht="15.75" customHeight="1">
      <c r="A1366" s="1" t="str">
        <f t="array" ref="A1366">INDEX(Reference!$A$2:$A$18, INT((ROW()-2)/(18*3*2)) + 1)</f>
        <v>NCR</v>
      </c>
      <c r="B1366" s="2" t="str">
        <f t="array" ref="B1366">INDEX(Reference!$C$2:$C$19, MOD(ROW()-2, 18) + 1)</f>
        <v>....Public administration and defense; compulsory social activities</v>
      </c>
      <c r="C1366" s="1" t="str">
        <f t="shared" si="1"/>
        <v>Sub</v>
      </c>
      <c r="D1366" s="1">
        <f t="shared" si="2"/>
        <v>2022</v>
      </c>
      <c r="E1366" s="1" t="str">
        <f t="shared" si="3"/>
        <v>At Constant 2018 Prices</v>
      </c>
      <c r="F1366" s="3">
        <v>5.6896856E8</v>
      </c>
    </row>
    <row r="1367" ht="15.75" customHeight="1">
      <c r="A1367" s="1" t="str">
        <f t="array" ref="A1367">INDEX(Reference!$A$2:$A$18, INT((ROW()-2)/(18*3*2)) + 1)</f>
        <v>NCR</v>
      </c>
      <c r="B1367" s="2" t="str">
        <f t="array" ref="B1367">INDEX(Reference!$C$2:$C$19, MOD(ROW()-2, 18) + 1)</f>
        <v>....Education</v>
      </c>
      <c r="C1367" s="1" t="str">
        <f t="shared" si="1"/>
        <v>Sub</v>
      </c>
      <c r="D1367" s="1">
        <f t="shared" si="2"/>
        <v>2022</v>
      </c>
      <c r="E1367" s="1" t="str">
        <f t="shared" si="3"/>
        <v>At Constant 2018 Prices</v>
      </c>
      <c r="F1367" s="3">
        <v>1.21671156E8</v>
      </c>
    </row>
    <row r="1368" ht="15.75" customHeight="1">
      <c r="A1368" s="1" t="str">
        <f t="array" ref="A1368">INDEX(Reference!$A$2:$A$18, INT((ROW()-2)/(18*3*2)) + 1)</f>
        <v>NCR</v>
      </c>
      <c r="B1368" s="2" t="str">
        <f t="array" ref="B1368">INDEX(Reference!$C$2:$C$19, MOD(ROW()-2, 18) + 1)</f>
        <v>....Human health and social work activities</v>
      </c>
      <c r="C1368" s="1" t="str">
        <f t="shared" si="1"/>
        <v>Sub</v>
      </c>
      <c r="D1368" s="1">
        <f t="shared" si="2"/>
        <v>2022</v>
      </c>
      <c r="E1368" s="1" t="str">
        <f t="shared" si="3"/>
        <v>At Constant 2018 Prices</v>
      </c>
      <c r="F1368" s="3">
        <v>1.15178296E8</v>
      </c>
    </row>
    <row r="1369" ht="15.75" customHeight="1">
      <c r="A1369" s="1" t="str">
        <f t="array" ref="A1369">INDEX(Reference!$A$2:$A$18, INT((ROW()-2)/(18*3*2)) + 1)</f>
        <v>NCR</v>
      </c>
      <c r="B1369" s="2" t="str">
        <f t="array" ref="B1369">INDEX(Reference!$C$2:$C$19, MOD(ROW()-2, 18) + 1)</f>
        <v>....Other services</v>
      </c>
      <c r="C1369" s="1" t="str">
        <f t="shared" si="1"/>
        <v>Sub</v>
      </c>
      <c r="D1369" s="1">
        <f t="shared" si="2"/>
        <v>2022</v>
      </c>
      <c r="E1369" s="1" t="str">
        <f t="shared" si="3"/>
        <v>At Constant 2018 Prices</v>
      </c>
      <c r="F1369" s="3">
        <v>1.25359333E8</v>
      </c>
    </row>
    <row r="1370" ht="15.75" customHeight="1">
      <c r="A1370" s="1" t="str">
        <f t="array" ref="A1370">INDEX(Reference!$A$2:$A$18, INT((ROW()-2)/(18*3*2)) + 1)</f>
        <v>NCR</v>
      </c>
      <c r="B1370" s="2" t="str">
        <f t="array" ref="B1370">INDEX(Reference!$C$2:$C$19, MOD(ROW()-2, 18) + 1)</f>
        <v>..Agriculture, forestry, and fishing</v>
      </c>
      <c r="C1370" s="1" t="str">
        <f t="shared" si="1"/>
        <v>Main</v>
      </c>
      <c r="D1370" s="1">
        <f t="shared" si="2"/>
        <v>2023</v>
      </c>
      <c r="E1370" s="1" t="str">
        <f t="shared" si="3"/>
        <v>At Constant 2018 Prices</v>
      </c>
      <c r="F1370" s="3">
        <v>457740.0</v>
      </c>
    </row>
    <row r="1371" ht="15.75" customHeight="1">
      <c r="A1371" s="1" t="str">
        <f t="array" ref="A1371">INDEX(Reference!$A$2:$A$18, INT((ROW()-2)/(18*3*2)) + 1)</f>
        <v>NCR</v>
      </c>
      <c r="B1371" s="2" t="str">
        <f t="array" ref="B1371">INDEX(Reference!$C$2:$C$19, MOD(ROW()-2, 18) + 1)</f>
        <v>..Industry</v>
      </c>
      <c r="C1371" s="1" t="str">
        <f t="shared" si="1"/>
        <v>Main</v>
      </c>
      <c r="D1371" s="1">
        <f t="shared" si="2"/>
        <v>2023</v>
      </c>
      <c r="E1371" s="1" t="str">
        <f t="shared" si="3"/>
        <v>At Constant 2018 Prices</v>
      </c>
      <c r="F1371" s="3">
        <v>1.138869936E9</v>
      </c>
    </row>
    <row r="1372" ht="15.75" customHeight="1">
      <c r="A1372" s="1" t="str">
        <f t="array" ref="A1372">INDEX(Reference!$A$2:$A$18, INT((ROW()-2)/(18*3*2)) + 1)</f>
        <v>NCR</v>
      </c>
      <c r="B1372" s="2" t="str">
        <f t="array" ref="B1372">INDEX(Reference!$C$2:$C$19, MOD(ROW()-2, 18) + 1)</f>
        <v>....Mining and quarrying</v>
      </c>
      <c r="C1372" s="1" t="str">
        <f t="shared" si="1"/>
        <v>Sub</v>
      </c>
      <c r="D1372" s="1">
        <f t="shared" si="2"/>
        <v>2023</v>
      </c>
      <c r="E1372" s="1" t="str">
        <f t="shared" si="3"/>
        <v>At Constant 2018 Prices</v>
      </c>
      <c r="F1372" s="3">
        <v>456559.0</v>
      </c>
    </row>
    <row r="1373" ht="15.75" customHeight="1">
      <c r="A1373" s="1" t="str">
        <f t="array" ref="A1373">INDEX(Reference!$A$2:$A$18, INT((ROW()-2)/(18*3*2)) + 1)</f>
        <v>NCR</v>
      </c>
      <c r="B1373" s="2" t="str">
        <f t="array" ref="B1373">INDEX(Reference!$C$2:$C$19, MOD(ROW()-2, 18) + 1)</f>
        <v>....Manufacturing</v>
      </c>
      <c r="C1373" s="1" t="str">
        <f t="shared" si="1"/>
        <v>Sub</v>
      </c>
      <c r="D1373" s="1">
        <f t="shared" si="2"/>
        <v>2023</v>
      </c>
      <c r="E1373" s="1" t="str">
        <f t="shared" si="3"/>
        <v>At Constant 2018 Prices</v>
      </c>
      <c r="F1373" s="3">
        <v>7.85670607E8</v>
      </c>
    </row>
    <row r="1374" ht="15.75" customHeight="1">
      <c r="A1374" s="1" t="str">
        <f t="array" ref="A1374">INDEX(Reference!$A$2:$A$18, INT((ROW()-2)/(18*3*2)) + 1)</f>
        <v>NCR</v>
      </c>
      <c r="B1374" s="2" t="str">
        <f t="array" ref="B1374">INDEX(Reference!$C$2:$C$19, MOD(ROW()-2, 18) + 1)</f>
        <v>....Electricity, steam, water and waste management</v>
      </c>
      <c r="C1374" s="1" t="str">
        <f t="shared" si="1"/>
        <v>Sub</v>
      </c>
      <c r="D1374" s="1">
        <f t="shared" si="2"/>
        <v>2023</v>
      </c>
      <c r="E1374" s="1" t="str">
        <f t="shared" si="3"/>
        <v>At Constant 2018 Prices</v>
      </c>
      <c r="F1374" s="3">
        <v>9.3677911E7</v>
      </c>
    </row>
    <row r="1375" ht="15.75" customHeight="1">
      <c r="A1375" s="1" t="str">
        <f t="array" ref="A1375">INDEX(Reference!$A$2:$A$18, INT((ROW()-2)/(18*3*2)) + 1)</f>
        <v>NCR</v>
      </c>
      <c r="B1375" s="2" t="str">
        <f t="array" ref="B1375">INDEX(Reference!$C$2:$C$19, MOD(ROW()-2, 18) + 1)</f>
        <v>....Construction</v>
      </c>
      <c r="C1375" s="1" t="str">
        <f t="shared" si="1"/>
        <v>Sub</v>
      </c>
      <c r="D1375" s="1">
        <f t="shared" si="2"/>
        <v>2023</v>
      </c>
      <c r="E1375" s="1" t="str">
        <f t="shared" si="3"/>
        <v>At Constant 2018 Prices</v>
      </c>
      <c r="F1375" s="3">
        <v>2.59064859E8</v>
      </c>
    </row>
    <row r="1376" ht="15.75" customHeight="1">
      <c r="A1376" s="1" t="str">
        <f t="array" ref="A1376">INDEX(Reference!$A$2:$A$18, INT((ROW()-2)/(18*3*2)) + 1)</f>
        <v>NCR</v>
      </c>
      <c r="B1376" s="2" t="str">
        <f t="array" ref="B1376">INDEX(Reference!$C$2:$C$19, MOD(ROW()-2, 18) + 1)</f>
        <v>..Services</v>
      </c>
      <c r="C1376" s="1" t="str">
        <f t="shared" si="1"/>
        <v>Main</v>
      </c>
      <c r="D1376" s="1">
        <f t="shared" si="2"/>
        <v>2023</v>
      </c>
      <c r="E1376" s="1" t="str">
        <f t="shared" si="3"/>
        <v>At Constant 2018 Prices</v>
      </c>
      <c r="F1376" s="3">
        <v>5.435230482E9</v>
      </c>
    </row>
    <row r="1377" ht="15.75" customHeight="1">
      <c r="A1377" s="1" t="str">
        <f t="array" ref="A1377">INDEX(Reference!$A$2:$A$18, INT((ROW()-2)/(18*3*2)) + 1)</f>
        <v>NCR</v>
      </c>
      <c r="B1377" s="2" t="str">
        <f t="array" ref="B1377">INDEX(Reference!$C$2:$C$19, MOD(ROW()-2, 18) + 1)</f>
        <v>....Wholesale and retail trade; repair of motor vehicles and motorcycles</v>
      </c>
      <c r="C1377" s="1" t="str">
        <f t="shared" si="1"/>
        <v>Sub</v>
      </c>
      <c r="D1377" s="1">
        <f t="shared" si="2"/>
        <v>2023</v>
      </c>
      <c r="E1377" s="1" t="str">
        <f t="shared" si="3"/>
        <v>At Constant 2018 Prices</v>
      </c>
      <c r="F1377" s="3">
        <v>1.502663117E9</v>
      </c>
    </row>
    <row r="1378" ht="15.75" customHeight="1">
      <c r="A1378" s="1" t="str">
        <f t="array" ref="A1378">INDEX(Reference!$A$2:$A$18, INT((ROW()-2)/(18*3*2)) + 1)</f>
        <v>NCR</v>
      </c>
      <c r="B1378" s="2" t="str">
        <f t="array" ref="B1378">INDEX(Reference!$C$2:$C$19, MOD(ROW()-2, 18) + 1)</f>
        <v>....Transportation and storage</v>
      </c>
      <c r="C1378" s="1" t="str">
        <f t="shared" si="1"/>
        <v>Sub</v>
      </c>
      <c r="D1378" s="1">
        <f t="shared" si="2"/>
        <v>2023</v>
      </c>
      <c r="E1378" s="1" t="str">
        <f t="shared" si="3"/>
        <v>At Constant 2018 Prices</v>
      </c>
      <c r="F1378" s="3">
        <v>1.63620242E8</v>
      </c>
    </row>
    <row r="1379" ht="15.75" customHeight="1">
      <c r="A1379" s="1" t="str">
        <f t="array" ref="A1379">INDEX(Reference!$A$2:$A$18, INT((ROW()-2)/(18*3*2)) + 1)</f>
        <v>NCR</v>
      </c>
      <c r="B1379" s="2" t="str">
        <f t="array" ref="B1379">INDEX(Reference!$C$2:$C$19, MOD(ROW()-2, 18) + 1)</f>
        <v>....Accommodation and food service activities</v>
      </c>
      <c r="C1379" s="1" t="str">
        <f t="shared" si="1"/>
        <v>Sub</v>
      </c>
      <c r="D1379" s="1">
        <f t="shared" si="2"/>
        <v>2023</v>
      </c>
      <c r="E1379" s="1" t="str">
        <f t="shared" si="3"/>
        <v>At Constant 2018 Prices</v>
      </c>
      <c r="F1379" s="3">
        <v>7.6888977E7</v>
      </c>
    </row>
    <row r="1380" ht="15.75" customHeight="1">
      <c r="A1380" s="1" t="str">
        <f t="array" ref="A1380">INDEX(Reference!$A$2:$A$18, INT((ROW()-2)/(18*3*2)) + 1)</f>
        <v>NCR</v>
      </c>
      <c r="B1380" s="2" t="str">
        <f t="array" ref="B1380">INDEX(Reference!$C$2:$C$19, MOD(ROW()-2, 18) + 1)</f>
        <v>....Information and communication</v>
      </c>
      <c r="C1380" s="1" t="str">
        <f t="shared" si="1"/>
        <v>Sub</v>
      </c>
      <c r="D1380" s="1">
        <f t="shared" si="2"/>
        <v>2023</v>
      </c>
      <c r="E1380" s="1" t="str">
        <f t="shared" si="3"/>
        <v>At Constant 2018 Prices</v>
      </c>
      <c r="F1380" s="3">
        <v>1.68278902E8</v>
      </c>
    </row>
    <row r="1381" ht="15.75" customHeight="1">
      <c r="A1381" s="1" t="str">
        <f t="array" ref="A1381">INDEX(Reference!$A$2:$A$18, INT((ROW()-2)/(18*3*2)) + 1)</f>
        <v>NCR</v>
      </c>
      <c r="B1381" s="2" t="str">
        <f t="array" ref="B1381">INDEX(Reference!$C$2:$C$19, MOD(ROW()-2, 18) + 1)</f>
        <v>....Financial and insurance activities</v>
      </c>
      <c r="C1381" s="1" t="str">
        <f t="shared" si="1"/>
        <v>Sub</v>
      </c>
      <c r="D1381" s="1">
        <f t="shared" si="2"/>
        <v>2023</v>
      </c>
      <c r="E1381" s="1" t="str">
        <f t="shared" si="3"/>
        <v>At Constant 2018 Prices</v>
      </c>
      <c r="F1381" s="3">
        <v>1.303008959E9</v>
      </c>
    </row>
    <row r="1382" ht="15.75" customHeight="1">
      <c r="A1382" s="1" t="str">
        <f t="array" ref="A1382">INDEX(Reference!$A$2:$A$18, INT((ROW()-2)/(18*3*2)) + 1)</f>
        <v>NCR</v>
      </c>
      <c r="B1382" s="2" t="str">
        <f t="array" ref="B1382">INDEX(Reference!$C$2:$C$19, MOD(ROW()-2, 18) + 1)</f>
        <v>....Real estate and ownership of dwellings</v>
      </c>
      <c r="C1382" s="1" t="str">
        <f t="shared" si="1"/>
        <v>Sub</v>
      </c>
      <c r="D1382" s="1">
        <f t="shared" si="2"/>
        <v>2023</v>
      </c>
      <c r="E1382" s="1" t="str">
        <f t="shared" si="3"/>
        <v>At Constant 2018 Prices</v>
      </c>
      <c r="F1382" s="3">
        <v>3.98743491E8</v>
      </c>
    </row>
    <row r="1383" ht="15.75" customHeight="1">
      <c r="A1383" s="1" t="str">
        <f t="array" ref="A1383">INDEX(Reference!$A$2:$A$18, INT((ROW()-2)/(18*3*2)) + 1)</f>
        <v>NCR</v>
      </c>
      <c r="B1383" s="2" t="str">
        <f t="array" ref="B1383">INDEX(Reference!$C$2:$C$19, MOD(ROW()-2, 18) + 1)</f>
        <v>....Professional and business services</v>
      </c>
      <c r="C1383" s="1" t="str">
        <f t="shared" si="1"/>
        <v>Sub</v>
      </c>
      <c r="D1383" s="1">
        <f t="shared" si="2"/>
        <v>2023</v>
      </c>
      <c r="E1383" s="1" t="str">
        <f t="shared" si="3"/>
        <v>At Constant 2018 Prices</v>
      </c>
      <c r="F1383" s="3">
        <v>8.52483687E8</v>
      </c>
    </row>
    <row r="1384" ht="15.75" customHeight="1">
      <c r="A1384" s="1" t="str">
        <f t="array" ref="A1384">INDEX(Reference!$A$2:$A$18, INT((ROW()-2)/(18*3*2)) + 1)</f>
        <v>NCR</v>
      </c>
      <c r="B1384" s="2" t="str">
        <f t="array" ref="B1384">INDEX(Reference!$C$2:$C$19, MOD(ROW()-2, 18) + 1)</f>
        <v>....Public administration and defense; compulsory social activities</v>
      </c>
      <c r="C1384" s="1" t="str">
        <f t="shared" si="1"/>
        <v>Sub</v>
      </c>
      <c r="D1384" s="1">
        <f t="shared" si="2"/>
        <v>2023</v>
      </c>
      <c r="E1384" s="1" t="str">
        <f t="shared" si="3"/>
        <v>At Constant 2018 Prices</v>
      </c>
      <c r="F1384" s="3">
        <v>5.63052845E8</v>
      </c>
    </row>
    <row r="1385" ht="15.75" customHeight="1">
      <c r="A1385" s="1" t="str">
        <f t="array" ref="A1385">INDEX(Reference!$A$2:$A$18, INT((ROW()-2)/(18*3*2)) + 1)</f>
        <v>NCR</v>
      </c>
      <c r="B1385" s="2" t="str">
        <f t="array" ref="B1385">INDEX(Reference!$C$2:$C$19, MOD(ROW()-2, 18) + 1)</f>
        <v>....Education</v>
      </c>
      <c r="C1385" s="1" t="str">
        <f t="shared" si="1"/>
        <v>Sub</v>
      </c>
      <c r="D1385" s="1">
        <f t="shared" si="2"/>
        <v>2023</v>
      </c>
      <c r="E1385" s="1" t="str">
        <f t="shared" si="3"/>
        <v>At Constant 2018 Prices</v>
      </c>
      <c r="F1385" s="3">
        <v>1.29743975E8</v>
      </c>
    </row>
    <row r="1386" ht="15.75" customHeight="1">
      <c r="A1386" s="1" t="str">
        <f t="array" ref="A1386">INDEX(Reference!$A$2:$A$18, INT((ROW()-2)/(18*3*2)) + 1)</f>
        <v>NCR</v>
      </c>
      <c r="B1386" s="2" t="str">
        <f t="array" ref="B1386">INDEX(Reference!$C$2:$C$19, MOD(ROW()-2, 18) + 1)</f>
        <v>....Human health and social work activities</v>
      </c>
      <c r="C1386" s="1" t="str">
        <f t="shared" si="1"/>
        <v>Sub</v>
      </c>
      <c r="D1386" s="1">
        <f t="shared" si="2"/>
        <v>2023</v>
      </c>
      <c r="E1386" s="1" t="str">
        <f t="shared" si="3"/>
        <v>At Constant 2018 Prices</v>
      </c>
      <c r="F1386" s="3">
        <v>1.25901956E8</v>
      </c>
    </row>
    <row r="1387" ht="15.75" customHeight="1">
      <c r="A1387" s="1" t="str">
        <f t="array" ref="A1387">INDEX(Reference!$A$2:$A$18, INT((ROW()-2)/(18*3*2)) + 1)</f>
        <v>NCR</v>
      </c>
      <c r="B1387" s="2" t="str">
        <f t="array" ref="B1387">INDEX(Reference!$C$2:$C$19, MOD(ROW()-2, 18) + 1)</f>
        <v>....Other services</v>
      </c>
      <c r="C1387" s="1" t="str">
        <f t="shared" si="1"/>
        <v>Sub</v>
      </c>
      <c r="D1387" s="1">
        <f t="shared" si="2"/>
        <v>2023</v>
      </c>
      <c r="E1387" s="1" t="str">
        <f t="shared" si="3"/>
        <v>At Constant 2018 Prices</v>
      </c>
      <c r="F1387" s="3">
        <v>1.5084433E8</v>
      </c>
    </row>
    <row r="1388" ht="15.75" customHeight="1">
      <c r="A1388" s="1" t="str">
        <f t="array" ref="A1388">INDEX(Reference!$A$2:$A$18, INT((ROW()-2)/(18*3*2)) + 1)</f>
        <v>NCR</v>
      </c>
      <c r="B1388" s="2" t="str">
        <f t="array" ref="B1388">INDEX(Reference!$C$2:$C$19, MOD(ROW()-2, 18) + 1)</f>
        <v>..Agriculture, forestry, and fishing</v>
      </c>
      <c r="C1388" s="1" t="str">
        <f t="shared" si="1"/>
        <v>Main</v>
      </c>
      <c r="D1388" s="1">
        <f t="shared" si="2"/>
        <v>2024</v>
      </c>
      <c r="E1388" s="1" t="str">
        <f t="shared" si="3"/>
        <v>At Constant 2018 Prices</v>
      </c>
      <c r="F1388" s="3">
        <v>461374.0</v>
      </c>
    </row>
    <row r="1389" ht="15.75" customHeight="1">
      <c r="A1389" s="1" t="str">
        <f t="array" ref="A1389">INDEX(Reference!$A$2:$A$18, INT((ROW()-2)/(18*3*2)) + 1)</f>
        <v>NCR</v>
      </c>
      <c r="B1389" s="2" t="str">
        <f t="array" ref="B1389">INDEX(Reference!$C$2:$C$19, MOD(ROW()-2, 18) + 1)</f>
        <v>..Industry</v>
      </c>
      <c r="C1389" s="1" t="str">
        <f t="shared" si="1"/>
        <v>Main</v>
      </c>
      <c r="D1389" s="1">
        <f t="shared" si="2"/>
        <v>2024</v>
      </c>
      <c r="E1389" s="1" t="str">
        <f t="shared" si="3"/>
        <v>At Constant 2018 Prices</v>
      </c>
      <c r="F1389" s="3">
        <v>1.184900678E9</v>
      </c>
    </row>
    <row r="1390" ht="15.75" customHeight="1">
      <c r="A1390" s="1" t="str">
        <f t="array" ref="A1390">INDEX(Reference!$A$2:$A$18, INT((ROW()-2)/(18*3*2)) + 1)</f>
        <v>NCR</v>
      </c>
      <c r="B1390" s="2" t="str">
        <f t="array" ref="B1390">INDEX(Reference!$C$2:$C$19, MOD(ROW()-2, 18) + 1)</f>
        <v>....Mining and quarrying</v>
      </c>
      <c r="C1390" s="1" t="str">
        <f t="shared" si="1"/>
        <v>Sub</v>
      </c>
      <c r="D1390" s="1">
        <f t="shared" si="2"/>
        <v>2024</v>
      </c>
      <c r="E1390" s="1" t="str">
        <f t="shared" si="3"/>
        <v>At Constant 2018 Prices</v>
      </c>
      <c r="F1390" s="3">
        <v>467157.0</v>
      </c>
    </row>
    <row r="1391" ht="15.75" customHeight="1">
      <c r="A1391" s="1" t="str">
        <f t="array" ref="A1391">INDEX(Reference!$A$2:$A$18, INT((ROW()-2)/(18*3*2)) + 1)</f>
        <v>NCR</v>
      </c>
      <c r="B1391" s="2" t="str">
        <f t="array" ref="B1391">INDEX(Reference!$C$2:$C$19, MOD(ROW()-2, 18) + 1)</f>
        <v>....Manufacturing</v>
      </c>
      <c r="C1391" s="1" t="str">
        <f t="shared" si="1"/>
        <v>Sub</v>
      </c>
      <c r="D1391" s="1">
        <f t="shared" si="2"/>
        <v>2024</v>
      </c>
      <c r="E1391" s="1" t="str">
        <f t="shared" si="3"/>
        <v>At Constant 2018 Prices</v>
      </c>
      <c r="F1391" s="3">
        <v>8.06482508E8</v>
      </c>
    </row>
    <row r="1392" ht="15.75" customHeight="1">
      <c r="A1392" s="1" t="str">
        <f t="array" ref="A1392">INDEX(Reference!$A$2:$A$18, INT((ROW()-2)/(18*3*2)) + 1)</f>
        <v>NCR</v>
      </c>
      <c r="B1392" s="2" t="str">
        <f t="array" ref="B1392">INDEX(Reference!$C$2:$C$19, MOD(ROW()-2, 18) + 1)</f>
        <v>....Electricity, steam, water and waste management</v>
      </c>
      <c r="C1392" s="1" t="str">
        <f t="shared" si="1"/>
        <v>Sub</v>
      </c>
      <c r="D1392" s="1">
        <f t="shared" si="2"/>
        <v>2024</v>
      </c>
      <c r="E1392" s="1" t="str">
        <f t="shared" si="3"/>
        <v>At Constant 2018 Prices</v>
      </c>
      <c r="F1392" s="3">
        <v>9.9223538E7</v>
      </c>
    </row>
    <row r="1393" ht="15.75" customHeight="1">
      <c r="A1393" s="1" t="str">
        <f t="array" ref="A1393">INDEX(Reference!$A$2:$A$18, INT((ROW()-2)/(18*3*2)) + 1)</f>
        <v>NCR</v>
      </c>
      <c r="B1393" s="2" t="str">
        <f t="array" ref="B1393">INDEX(Reference!$C$2:$C$19, MOD(ROW()-2, 18) + 1)</f>
        <v>....Construction</v>
      </c>
      <c r="C1393" s="1" t="str">
        <f t="shared" si="1"/>
        <v>Sub</v>
      </c>
      <c r="D1393" s="1">
        <f t="shared" si="2"/>
        <v>2024</v>
      </c>
      <c r="E1393" s="1" t="str">
        <f t="shared" si="3"/>
        <v>At Constant 2018 Prices</v>
      </c>
      <c r="F1393" s="3">
        <v>2.78727475E8</v>
      </c>
    </row>
    <row r="1394" ht="15.75" customHeight="1">
      <c r="A1394" s="1" t="str">
        <f t="array" ref="A1394">INDEX(Reference!$A$2:$A$18, INT((ROW()-2)/(18*3*2)) + 1)</f>
        <v>NCR</v>
      </c>
      <c r="B1394" s="2" t="str">
        <f t="array" ref="B1394">INDEX(Reference!$C$2:$C$19, MOD(ROW()-2, 18) + 1)</f>
        <v>..Services</v>
      </c>
      <c r="C1394" s="1" t="str">
        <f t="shared" si="1"/>
        <v>Main</v>
      </c>
      <c r="D1394" s="1">
        <f t="shared" si="2"/>
        <v>2024</v>
      </c>
      <c r="E1394" s="1" t="str">
        <f t="shared" si="3"/>
        <v>At Constant 2018 Prices</v>
      </c>
      <c r="F1394" s="3">
        <v>5.756531688E9</v>
      </c>
    </row>
    <row r="1395" ht="15.75" customHeight="1">
      <c r="A1395" s="1" t="str">
        <f t="array" ref="A1395">INDEX(Reference!$A$2:$A$18, INT((ROW()-2)/(18*3*2)) + 1)</f>
        <v>NCR</v>
      </c>
      <c r="B1395" s="2" t="str">
        <f t="array" ref="B1395">INDEX(Reference!$C$2:$C$19, MOD(ROW()-2, 18) + 1)</f>
        <v>....Wholesale and retail trade; repair of motor vehicles and motorcycles</v>
      </c>
      <c r="C1395" s="1" t="str">
        <f t="shared" si="1"/>
        <v>Sub</v>
      </c>
      <c r="D1395" s="1">
        <f t="shared" si="2"/>
        <v>2024</v>
      </c>
      <c r="E1395" s="1" t="str">
        <f t="shared" si="3"/>
        <v>At Constant 2018 Prices</v>
      </c>
      <c r="F1395" s="3">
        <v>1.563603718E9</v>
      </c>
    </row>
    <row r="1396" ht="15.75" customHeight="1">
      <c r="A1396" s="1" t="str">
        <f t="array" ref="A1396">INDEX(Reference!$A$2:$A$18, INT((ROW()-2)/(18*3*2)) + 1)</f>
        <v>NCR</v>
      </c>
      <c r="B1396" s="2" t="str">
        <f t="array" ref="B1396">INDEX(Reference!$C$2:$C$19, MOD(ROW()-2, 18) + 1)</f>
        <v>....Transportation and storage</v>
      </c>
      <c r="C1396" s="1" t="str">
        <f t="shared" si="1"/>
        <v>Sub</v>
      </c>
      <c r="D1396" s="1">
        <f t="shared" si="2"/>
        <v>2024</v>
      </c>
      <c r="E1396" s="1" t="str">
        <f t="shared" si="3"/>
        <v>At Constant 2018 Prices</v>
      </c>
      <c r="F1396" s="3">
        <v>1.78984098E8</v>
      </c>
    </row>
    <row r="1397" ht="15.75" customHeight="1">
      <c r="A1397" s="1" t="str">
        <f t="array" ref="A1397">INDEX(Reference!$A$2:$A$18, INT((ROW()-2)/(18*3*2)) + 1)</f>
        <v>NCR</v>
      </c>
      <c r="B1397" s="2" t="str">
        <f t="array" ref="B1397">INDEX(Reference!$C$2:$C$19, MOD(ROW()-2, 18) + 1)</f>
        <v>....Accommodation and food service activities</v>
      </c>
      <c r="C1397" s="1" t="str">
        <f t="shared" si="1"/>
        <v>Sub</v>
      </c>
      <c r="D1397" s="1">
        <f t="shared" si="2"/>
        <v>2024</v>
      </c>
      <c r="E1397" s="1" t="str">
        <f t="shared" si="3"/>
        <v>At Constant 2018 Prices</v>
      </c>
      <c r="F1397" s="3">
        <v>8.3157004E7</v>
      </c>
    </row>
    <row r="1398" ht="15.75" customHeight="1">
      <c r="A1398" s="1" t="str">
        <f t="array" ref="A1398">INDEX(Reference!$A$2:$A$18, INT((ROW()-2)/(18*3*2)) + 1)</f>
        <v>NCR</v>
      </c>
      <c r="B1398" s="2" t="str">
        <f t="array" ref="B1398">INDEX(Reference!$C$2:$C$19, MOD(ROW()-2, 18) + 1)</f>
        <v>....Information and communication</v>
      </c>
      <c r="C1398" s="1" t="str">
        <f t="shared" si="1"/>
        <v>Sub</v>
      </c>
      <c r="D1398" s="1">
        <f t="shared" si="2"/>
        <v>2024</v>
      </c>
      <c r="E1398" s="1" t="str">
        <f t="shared" si="3"/>
        <v>At Constant 2018 Prices</v>
      </c>
      <c r="F1398" s="3">
        <v>1.75213655E8</v>
      </c>
    </row>
    <row r="1399" ht="15.75" customHeight="1">
      <c r="A1399" s="1" t="str">
        <f t="array" ref="A1399">INDEX(Reference!$A$2:$A$18, INT((ROW()-2)/(18*3*2)) + 1)</f>
        <v>NCR</v>
      </c>
      <c r="B1399" s="2" t="str">
        <f t="array" ref="B1399">INDEX(Reference!$C$2:$C$19, MOD(ROW()-2, 18) + 1)</f>
        <v>....Financial and insurance activities</v>
      </c>
      <c r="C1399" s="1" t="str">
        <f t="shared" si="1"/>
        <v>Sub</v>
      </c>
      <c r="D1399" s="1">
        <f t="shared" si="2"/>
        <v>2024</v>
      </c>
      <c r="E1399" s="1" t="str">
        <f t="shared" si="3"/>
        <v>At Constant 2018 Prices</v>
      </c>
      <c r="F1399" s="3">
        <v>1.412159533E9</v>
      </c>
    </row>
    <row r="1400" ht="15.75" customHeight="1">
      <c r="A1400" s="1" t="str">
        <f t="array" ref="A1400">INDEX(Reference!$A$2:$A$18, INT((ROW()-2)/(18*3*2)) + 1)</f>
        <v>NCR</v>
      </c>
      <c r="B1400" s="2" t="str">
        <f t="array" ref="B1400">INDEX(Reference!$C$2:$C$19, MOD(ROW()-2, 18) + 1)</f>
        <v>....Real estate and ownership of dwellings</v>
      </c>
      <c r="C1400" s="1" t="str">
        <f t="shared" si="1"/>
        <v>Sub</v>
      </c>
      <c r="D1400" s="1">
        <f t="shared" si="2"/>
        <v>2024</v>
      </c>
      <c r="E1400" s="1" t="str">
        <f t="shared" si="3"/>
        <v>At Constant 2018 Prices</v>
      </c>
      <c r="F1400" s="3">
        <v>4.17675075E8</v>
      </c>
    </row>
    <row r="1401" ht="15.75" customHeight="1">
      <c r="A1401" s="1" t="str">
        <f t="array" ref="A1401">INDEX(Reference!$A$2:$A$18, INT((ROW()-2)/(18*3*2)) + 1)</f>
        <v>NCR</v>
      </c>
      <c r="B1401" s="2" t="str">
        <f t="array" ref="B1401">INDEX(Reference!$C$2:$C$19, MOD(ROW()-2, 18) + 1)</f>
        <v>....Professional and business services</v>
      </c>
      <c r="C1401" s="1" t="str">
        <f t="shared" si="1"/>
        <v>Sub</v>
      </c>
      <c r="D1401" s="1">
        <f t="shared" si="2"/>
        <v>2024</v>
      </c>
      <c r="E1401" s="1" t="str">
        <f t="shared" si="3"/>
        <v>At Constant 2018 Prices</v>
      </c>
      <c r="F1401" s="3">
        <v>9.12070203E8</v>
      </c>
    </row>
    <row r="1402" ht="15.75" customHeight="1">
      <c r="A1402" s="1" t="str">
        <f t="array" ref="A1402">INDEX(Reference!$A$2:$A$18, INT((ROW()-2)/(18*3*2)) + 1)</f>
        <v>NCR</v>
      </c>
      <c r="B1402" s="2" t="str">
        <f t="array" ref="B1402">INDEX(Reference!$C$2:$C$19, MOD(ROW()-2, 18) + 1)</f>
        <v>....Public administration and defense; compulsory social activities</v>
      </c>
      <c r="C1402" s="1" t="str">
        <f t="shared" si="1"/>
        <v>Sub</v>
      </c>
      <c r="D1402" s="1">
        <f t="shared" si="2"/>
        <v>2024</v>
      </c>
      <c r="E1402" s="1" t="str">
        <f t="shared" si="3"/>
        <v>At Constant 2018 Prices</v>
      </c>
      <c r="F1402" s="3">
        <v>5.74738504E8</v>
      </c>
    </row>
    <row r="1403" ht="15.75" customHeight="1">
      <c r="A1403" s="1" t="str">
        <f t="array" ref="A1403">INDEX(Reference!$A$2:$A$18, INT((ROW()-2)/(18*3*2)) + 1)</f>
        <v>NCR</v>
      </c>
      <c r="B1403" s="2" t="str">
        <f t="array" ref="B1403">INDEX(Reference!$C$2:$C$19, MOD(ROW()-2, 18) + 1)</f>
        <v>....Education</v>
      </c>
      <c r="C1403" s="1" t="str">
        <f t="shared" si="1"/>
        <v>Sub</v>
      </c>
      <c r="D1403" s="1">
        <f t="shared" si="2"/>
        <v>2024</v>
      </c>
      <c r="E1403" s="1" t="str">
        <f t="shared" si="3"/>
        <v>At Constant 2018 Prices</v>
      </c>
      <c r="F1403" s="3">
        <v>1.37052852E8</v>
      </c>
    </row>
    <row r="1404" ht="15.75" customHeight="1">
      <c r="A1404" s="1" t="str">
        <f t="array" ref="A1404">INDEX(Reference!$A$2:$A$18, INT((ROW()-2)/(18*3*2)) + 1)</f>
        <v>NCR</v>
      </c>
      <c r="B1404" s="2" t="str">
        <f t="array" ref="B1404">INDEX(Reference!$C$2:$C$19, MOD(ROW()-2, 18) + 1)</f>
        <v>....Human health and social work activities</v>
      </c>
      <c r="C1404" s="1" t="str">
        <f t="shared" si="1"/>
        <v>Sub</v>
      </c>
      <c r="D1404" s="1">
        <f t="shared" si="2"/>
        <v>2024</v>
      </c>
      <c r="E1404" s="1" t="str">
        <f t="shared" si="3"/>
        <v>At Constant 2018 Prices</v>
      </c>
      <c r="F1404" s="3">
        <v>1.37152986E8</v>
      </c>
    </row>
    <row r="1405" ht="15.75" customHeight="1">
      <c r="A1405" s="1" t="str">
        <f t="array" ref="A1405">INDEX(Reference!$A$2:$A$18, INT((ROW()-2)/(18*3*2)) + 1)</f>
        <v>NCR</v>
      </c>
      <c r="B1405" s="2" t="str">
        <f t="array" ref="B1405">INDEX(Reference!$C$2:$C$19, MOD(ROW()-2, 18) + 1)</f>
        <v>....Other services</v>
      </c>
      <c r="C1405" s="1" t="str">
        <f t="shared" si="1"/>
        <v>Sub</v>
      </c>
      <c r="D1405" s="1">
        <f t="shared" si="2"/>
        <v>2024</v>
      </c>
      <c r="E1405" s="1" t="str">
        <f t="shared" si="3"/>
        <v>At Constant 2018 Prices</v>
      </c>
      <c r="F1405" s="3">
        <v>1.6472406E8</v>
      </c>
    </row>
    <row r="1406" ht="15.75" customHeight="1">
      <c r="A1406" s="1" t="str">
        <f t="array" ref="A1406">INDEX(Reference!$A$2:$A$18, INT((ROW()-2)/(18*3*2)) + 1)</f>
        <v>Nothern Mindanao</v>
      </c>
      <c r="B1406" s="2" t="str">
        <f t="array" ref="B1406">INDEX(Reference!$C$2:$C$19, MOD(ROW()-2, 18) + 1)</f>
        <v>..Agriculture, forestry, and fishing</v>
      </c>
      <c r="C1406" s="1" t="str">
        <f t="shared" si="1"/>
        <v>Main</v>
      </c>
      <c r="D1406" s="1">
        <f t="shared" si="2"/>
        <v>2022</v>
      </c>
      <c r="E1406" s="1" t="str">
        <f t="shared" si="3"/>
        <v>At Current Prices</v>
      </c>
      <c r="F1406" s="3">
        <v>2.41882831E8</v>
      </c>
    </row>
    <row r="1407" ht="15.75" customHeight="1">
      <c r="A1407" s="1" t="str">
        <f t="array" ref="A1407">INDEX(Reference!$A$2:$A$18, INT((ROW()-2)/(18*3*2)) + 1)</f>
        <v>Nothern Mindanao</v>
      </c>
      <c r="B1407" s="2" t="str">
        <f t="array" ref="B1407">INDEX(Reference!$C$2:$C$19, MOD(ROW()-2, 18) + 1)</f>
        <v>..Industry</v>
      </c>
      <c r="C1407" s="1" t="str">
        <f t="shared" si="1"/>
        <v>Main</v>
      </c>
      <c r="D1407" s="1">
        <f t="shared" si="2"/>
        <v>2022</v>
      </c>
      <c r="E1407" s="1" t="str">
        <f t="shared" si="3"/>
        <v>At Current Prices</v>
      </c>
      <c r="F1407" s="3">
        <v>2.73350028E8</v>
      </c>
    </row>
    <row r="1408" ht="15.75" customHeight="1">
      <c r="A1408" s="1" t="str">
        <f t="array" ref="A1408">INDEX(Reference!$A$2:$A$18, INT((ROW()-2)/(18*3*2)) + 1)</f>
        <v>Nothern Mindanao</v>
      </c>
      <c r="B1408" s="2" t="str">
        <f t="array" ref="B1408">INDEX(Reference!$C$2:$C$19, MOD(ROW()-2, 18) + 1)</f>
        <v>....Mining and quarrying</v>
      </c>
      <c r="C1408" s="1" t="str">
        <f t="shared" si="1"/>
        <v>Sub</v>
      </c>
      <c r="D1408" s="1">
        <f t="shared" si="2"/>
        <v>2022</v>
      </c>
      <c r="E1408" s="1" t="str">
        <f t="shared" si="3"/>
        <v>At Current Prices</v>
      </c>
      <c r="F1408" s="3">
        <v>3498828.0</v>
      </c>
    </row>
    <row r="1409" ht="15.75" customHeight="1">
      <c r="A1409" s="1" t="str">
        <f t="array" ref="A1409">INDEX(Reference!$A$2:$A$18, INT((ROW()-2)/(18*3*2)) + 1)</f>
        <v>Nothern Mindanao</v>
      </c>
      <c r="B1409" s="2" t="str">
        <f t="array" ref="B1409">INDEX(Reference!$C$2:$C$19, MOD(ROW()-2, 18) + 1)</f>
        <v>....Manufacturing</v>
      </c>
      <c r="C1409" s="1" t="str">
        <f t="shared" si="1"/>
        <v>Sub</v>
      </c>
      <c r="D1409" s="1">
        <f t="shared" si="2"/>
        <v>2022</v>
      </c>
      <c r="E1409" s="1" t="str">
        <f t="shared" si="3"/>
        <v>At Current Prices</v>
      </c>
      <c r="F1409" s="3">
        <v>1.41329469E8</v>
      </c>
    </row>
    <row r="1410" ht="15.75" customHeight="1">
      <c r="A1410" s="1" t="str">
        <f t="array" ref="A1410">INDEX(Reference!$A$2:$A$18, INT((ROW()-2)/(18*3*2)) + 1)</f>
        <v>Nothern Mindanao</v>
      </c>
      <c r="B1410" s="2" t="str">
        <f t="array" ref="B1410">INDEX(Reference!$C$2:$C$19, MOD(ROW()-2, 18) + 1)</f>
        <v>....Electricity, steam, water and waste management</v>
      </c>
      <c r="C1410" s="1" t="str">
        <f t="shared" si="1"/>
        <v>Sub</v>
      </c>
      <c r="D1410" s="1">
        <f t="shared" si="2"/>
        <v>2022</v>
      </c>
      <c r="E1410" s="1" t="str">
        <f t="shared" si="3"/>
        <v>At Current Prices</v>
      </c>
      <c r="F1410" s="3">
        <v>5.0914228E7</v>
      </c>
    </row>
    <row r="1411" ht="15.75" customHeight="1">
      <c r="A1411" s="1" t="str">
        <f t="array" ref="A1411">INDEX(Reference!$A$2:$A$18, INT((ROW()-2)/(18*3*2)) + 1)</f>
        <v>Nothern Mindanao</v>
      </c>
      <c r="B1411" s="2" t="str">
        <f t="array" ref="B1411">INDEX(Reference!$C$2:$C$19, MOD(ROW()-2, 18) + 1)</f>
        <v>....Construction</v>
      </c>
      <c r="C1411" s="1" t="str">
        <f t="shared" si="1"/>
        <v>Sub</v>
      </c>
      <c r="D1411" s="1">
        <f t="shared" si="2"/>
        <v>2022</v>
      </c>
      <c r="E1411" s="1" t="str">
        <f t="shared" si="3"/>
        <v>At Current Prices</v>
      </c>
      <c r="F1411" s="3">
        <v>7.7607503E7</v>
      </c>
    </row>
    <row r="1412" ht="15.75" customHeight="1">
      <c r="A1412" s="1" t="str">
        <f t="array" ref="A1412">INDEX(Reference!$A$2:$A$18, INT((ROW()-2)/(18*3*2)) + 1)</f>
        <v>Nothern Mindanao</v>
      </c>
      <c r="B1412" s="2" t="str">
        <f t="array" ref="B1412">INDEX(Reference!$C$2:$C$19, MOD(ROW()-2, 18) + 1)</f>
        <v>..Services</v>
      </c>
      <c r="C1412" s="1" t="str">
        <f t="shared" si="1"/>
        <v>Main</v>
      </c>
      <c r="D1412" s="1">
        <f t="shared" si="2"/>
        <v>2022</v>
      </c>
      <c r="E1412" s="1" t="str">
        <f t="shared" si="3"/>
        <v>At Current Prices</v>
      </c>
      <c r="F1412" s="3">
        <v>5.5555817E8</v>
      </c>
    </row>
    <row r="1413" ht="15.75" customHeight="1">
      <c r="A1413" s="1" t="str">
        <f t="array" ref="A1413">INDEX(Reference!$A$2:$A$18, INT((ROW()-2)/(18*3*2)) + 1)</f>
        <v>Nothern Mindanao</v>
      </c>
      <c r="B1413" s="2" t="str">
        <f t="array" ref="B1413">INDEX(Reference!$C$2:$C$19, MOD(ROW()-2, 18) + 1)</f>
        <v>....Wholesale and retail trade; repair of motor vehicles and motorcycles</v>
      </c>
      <c r="C1413" s="1" t="str">
        <f t="shared" si="1"/>
        <v>Sub</v>
      </c>
      <c r="D1413" s="1">
        <f t="shared" si="2"/>
        <v>2022</v>
      </c>
      <c r="E1413" s="1" t="str">
        <f t="shared" si="3"/>
        <v>At Current Prices</v>
      </c>
      <c r="F1413" s="3">
        <v>2.7302727E8</v>
      </c>
    </row>
    <row r="1414" ht="15.75" customHeight="1">
      <c r="A1414" s="1" t="str">
        <f t="array" ref="A1414">INDEX(Reference!$A$2:$A$18, INT((ROW()-2)/(18*3*2)) + 1)</f>
        <v>Nothern Mindanao</v>
      </c>
      <c r="B1414" s="2" t="str">
        <f t="array" ref="B1414">INDEX(Reference!$C$2:$C$19, MOD(ROW()-2, 18) + 1)</f>
        <v>....Transportation and storage</v>
      </c>
      <c r="C1414" s="1" t="str">
        <f t="shared" si="1"/>
        <v>Sub</v>
      </c>
      <c r="D1414" s="1">
        <f t="shared" si="2"/>
        <v>2022</v>
      </c>
      <c r="E1414" s="1" t="str">
        <f t="shared" si="3"/>
        <v>At Current Prices</v>
      </c>
      <c r="F1414" s="3">
        <v>2.7885796E7</v>
      </c>
    </row>
    <row r="1415" ht="15.75" customHeight="1">
      <c r="A1415" s="1" t="str">
        <f t="array" ref="A1415">INDEX(Reference!$A$2:$A$18, INT((ROW()-2)/(18*3*2)) + 1)</f>
        <v>Nothern Mindanao</v>
      </c>
      <c r="B1415" s="2" t="str">
        <f t="array" ref="B1415">INDEX(Reference!$C$2:$C$19, MOD(ROW()-2, 18) + 1)</f>
        <v>....Accommodation and food service activities</v>
      </c>
      <c r="C1415" s="1" t="str">
        <f t="shared" si="1"/>
        <v>Sub</v>
      </c>
      <c r="D1415" s="1">
        <f t="shared" si="2"/>
        <v>2022</v>
      </c>
      <c r="E1415" s="1" t="str">
        <f t="shared" si="3"/>
        <v>At Current Prices</v>
      </c>
      <c r="F1415" s="3">
        <v>2.3134553E7</v>
      </c>
    </row>
    <row r="1416" ht="15.75" customHeight="1">
      <c r="A1416" s="1" t="str">
        <f t="array" ref="A1416">INDEX(Reference!$A$2:$A$18, INT((ROW()-2)/(18*3*2)) + 1)</f>
        <v>Nothern Mindanao</v>
      </c>
      <c r="B1416" s="2" t="str">
        <f t="array" ref="B1416">INDEX(Reference!$C$2:$C$19, MOD(ROW()-2, 18) + 1)</f>
        <v>....Information and communication</v>
      </c>
      <c r="C1416" s="1" t="str">
        <f t="shared" si="1"/>
        <v>Sub</v>
      </c>
      <c r="D1416" s="1">
        <f t="shared" si="2"/>
        <v>2022</v>
      </c>
      <c r="E1416" s="1" t="str">
        <f t="shared" si="3"/>
        <v>At Current Prices</v>
      </c>
      <c r="F1416" s="3">
        <v>2.3802026E7</v>
      </c>
    </row>
    <row r="1417" ht="15.75" customHeight="1">
      <c r="A1417" s="1" t="str">
        <f t="array" ref="A1417">INDEX(Reference!$A$2:$A$18, INT((ROW()-2)/(18*3*2)) + 1)</f>
        <v>Nothern Mindanao</v>
      </c>
      <c r="B1417" s="2" t="str">
        <f t="array" ref="B1417">INDEX(Reference!$C$2:$C$19, MOD(ROW()-2, 18) + 1)</f>
        <v>....Financial and insurance activities</v>
      </c>
      <c r="C1417" s="1" t="str">
        <f t="shared" si="1"/>
        <v>Sub</v>
      </c>
      <c r="D1417" s="1">
        <f t="shared" si="2"/>
        <v>2022</v>
      </c>
      <c r="E1417" s="1" t="str">
        <f t="shared" si="3"/>
        <v>At Current Prices</v>
      </c>
      <c r="F1417" s="3">
        <v>4.2911607E7</v>
      </c>
    </row>
    <row r="1418" ht="15.75" customHeight="1">
      <c r="A1418" s="1" t="str">
        <f t="array" ref="A1418">INDEX(Reference!$A$2:$A$18, INT((ROW()-2)/(18*3*2)) + 1)</f>
        <v>Nothern Mindanao</v>
      </c>
      <c r="B1418" s="2" t="str">
        <f t="array" ref="B1418">INDEX(Reference!$C$2:$C$19, MOD(ROW()-2, 18) + 1)</f>
        <v>....Real estate and ownership of dwellings</v>
      </c>
      <c r="C1418" s="1" t="str">
        <f t="shared" si="1"/>
        <v>Sub</v>
      </c>
      <c r="D1418" s="1">
        <f t="shared" si="2"/>
        <v>2022</v>
      </c>
      <c r="E1418" s="1" t="str">
        <f t="shared" si="3"/>
        <v>At Current Prices</v>
      </c>
      <c r="F1418" s="3">
        <v>4.5418508E7</v>
      </c>
    </row>
    <row r="1419" ht="15.75" customHeight="1">
      <c r="A1419" s="1" t="str">
        <f t="array" ref="A1419">INDEX(Reference!$A$2:$A$18, INT((ROW()-2)/(18*3*2)) + 1)</f>
        <v>Nothern Mindanao</v>
      </c>
      <c r="B1419" s="2" t="str">
        <f t="array" ref="B1419">INDEX(Reference!$C$2:$C$19, MOD(ROW()-2, 18) + 1)</f>
        <v>....Professional and business services</v>
      </c>
      <c r="C1419" s="1" t="str">
        <f t="shared" si="1"/>
        <v>Sub</v>
      </c>
      <c r="D1419" s="1">
        <f t="shared" si="2"/>
        <v>2022</v>
      </c>
      <c r="E1419" s="1" t="str">
        <f t="shared" si="3"/>
        <v>At Current Prices</v>
      </c>
      <c r="F1419" s="3">
        <v>1.9796812E7</v>
      </c>
    </row>
    <row r="1420" ht="15.75" customHeight="1">
      <c r="A1420" s="1" t="str">
        <f t="array" ref="A1420">INDEX(Reference!$A$2:$A$18, INT((ROW()-2)/(18*3*2)) + 1)</f>
        <v>Nothern Mindanao</v>
      </c>
      <c r="B1420" s="2" t="str">
        <f t="array" ref="B1420">INDEX(Reference!$C$2:$C$19, MOD(ROW()-2, 18) + 1)</f>
        <v>....Public administration and defense; compulsory social activities</v>
      </c>
      <c r="C1420" s="1" t="str">
        <f t="shared" si="1"/>
        <v>Sub</v>
      </c>
      <c r="D1420" s="1">
        <f t="shared" si="2"/>
        <v>2022</v>
      </c>
      <c r="E1420" s="1" t="str">
        <f t="shared" si="3"/>
        <v>At Current Prices</v>
      </c>
      <c r="F1420" s="3">
        <v>3.4853361E7</v>
      </c>
    </row>
    <row r="1421" ht="15.75" customHeight="1">
      <c r="A1421" s="1" t="str">
        <f t="array" ref="A1421">INDEX(Reference!$A$2:$A$18, INT((ROW()-2)/(18*3*2)) + 1)</f>
        <v>Nothern Mindanao</v>
      </c>
      <c r="B1421" s="2" t="str">
        <f t="array" ref="B1421">INDEX(Reference!$C$2:$C$19, MOD(ROW()-2, 18) + 1)</f>
        <v>....Education</v>
      </c>
      <c r="C1421" s="1" t="str">
        <f t="shared" si="1"/>
        <v>Sub</v>
      </c>
      <c r="D1421" s="1">
        <f t="shared" si="2"/>
        <v>2022</v>
      </c>
      <c r="E1421" s="1" t="str">
        <f t="shared" si="3"/>
        <v>At Current Prices</v>
      </c>
      <c r="F1421" s="3">
        <v>3.9528841E7</v>
      </c>
    </row>
    <row r="1422" ht="15.75" customHeight="1">
      <c r="A1422" s="1" t="str">
        <f t="array" ref="A1422">INDEX(Reference!$A$2:$A$18, INT((ROW()-2)/(18*3*2)) + 1)</f>
        <v>Nothern Mindanao</v>
      </c>
      <c r="B1422" s="2" t="str">
        <f t="array" ref="B1422">INDEX(Reference!$C$2:$C$19, MOD(ROW()-2, 18) + 1)</f>
        <v>....Human health and social work activities</v>
      </c>
      <c r="C1422" s="1" t="str">
        <f t="shared" si="1"/>
        <v>Sub</v>
      </c>
      <c r="D1422" s="1">
        <f t="shared" si="2"/>
        <v>2022</v>
      </c>
      <c r="E1422" s="1" t="str">
        <f t="shared" si="3"/>
        <v>At Current Prices</v>
      </c>
      <c r="F1422" s="3">
        <v>1.5920453E7</v>
      </c>
    </row>
    <row r="1423" ht="15.75" customHeight="1">
      <c r="A1423" s="1" t="str">
        <f t="array" ref="A1423">INDEX(Reference!$A$2:$A$18, INT((ROW()-2)/(18*3*2)) + 1)</f>
        <v>Nothern Mindanao</v>
      </c>
      <c r="B1423" s="2" t="str">
        <f t="array" ref="B1423">INDEX(Reference!$C$2:$C$19, MOD(ROW()-2, 18) + 1)</f>
        <v>....Other services</v>
      </c>
      <c r="C1423" s="1" t="str">
        <f t="shared" si="1"/>
        <v>Sub</v>
      </c>
      <c r="D1423" s="1">
        <f t="shared" si="2"/>
        <v>2022</v>
      </c>
      <c r="E1423" s="1" t="str">
        <f t="shared" si="3"/>
        <v>At Current Prices</v>
      </c>
      <c r="F1423" s="3">
        <v>9278944.0</v>
      </c>
    </row>
    <row r="1424" ht="15.75" customHeight="1">
      <c r="A1424" s="1" t="str">
        <f t="array" ref="A1424">INDEX(Reference!$A$2:$A$18, INT((ROW()-2)/(18*3*2)) + 1)</f>
        <v>Nothern Mindanao</v>
      </c>
      <c r="B1424" s="2" t="str">
        <f t="array" ref="B1424">INDEX(Reference!$C$2:$C$19, MOD(ROW()-2, 18) + 1)</f>
        <v>..Agriculture, forestry, and fishing</v>
      </c>
      <c r="C1424" s="1" t="str">
        <f t="shared" si="1"/>
        <v>Main</v>
      </c>
      <c r="D1424" s="1">
        <f t="shared" si="2"/>
        <v>2023</v>
      </c>
      <c r="E1424" s="1" t="str">
        <f t="shared" si="3"/>
        <v>At Current Prices</v>
      </c>
      <c r="F1424" s="3">
        <v>2.59146512E8</v>
      </c>
    </row>
    <row r="1425" ht="15.75" customHeight="1">
      <c r="A1425" s="1" t="str">
        <f t="array" ref="A1425">INDEX(Reference!$A$2:$A$18, INT((ROW()-2)/(18*3*2)) + 1)</f>
        <v>Nothern Mindanao</v>
      </c>
      <c r="B1425" s="2" t="str">
        <f t="array" ref="B1425">INDEX(Reference!$C$2:$C$19, MOD(ROW()-2, 18) + 1)</f>
        <v>..Industry</v>
      </c>
      <c r="C1425" s="1" t="str">
        <f t="shared" si="1"/>
        <v>Main</v>
      </c>
      <c r="D1425" s="1">
        <f t="shared" si="2"/>
        <v>2023</v>
      </c>
      <c r="E1425" s="1" t="str">
        <f t="shared" si="3"/>
        <v>At Current Prices</v>
      </c>
      <c r="F1425" s="3">
        <v>2.93282875E8</v>
      </c>
    </row>
    <row r="1426" ht="15.75" customHeight="1">
      <c r="A1426" s="1" t="str">
        <f t="array" ref="A1426">INDEX(Reference!$A$2:$A$18, INT((ROW()-2)/(18*3*2)) + 1)</f>
        <v>Nothern Mindanao</v>
      </c>
      <c r="B1426" s="2" t="str">
        <f t="array" ref="B1426">INDEX(Reference!$C$2:$C$19, MOD(ROW()-2, 18) + 1)</f>
        <v>....Mining and quarrying</v>
      </c>
      <c r="C1426" s="1" t="str">
        <f t="shared" si="1"/>
        <v>Sub</v>
      </c>
      <c r="D1426" s="1">
        <f t="shared" si="2"/>
        <v>2023</v>
      </c>
      <c r="E1426" s="1" t="str">
        <f t="shared" si="3"/>
        <v>At Current Prices</v>
      </c>
      <c r="F1426" s="3">
        <v>3576906.0</v>
      </c>
    </row>
    <row r="1427" ht="15.75" customHeight="1">
      <c r="A1427" s="1" t="str">
        <f t="array" ref="A1427">INDEX(Reference!$A$2:$A$18, INT((ROW()-2)/(18*3*2)) + 1)</f>
        <v>Nothern Mindanao</v>
      </c>
      <c r="B1427" s="2" t="str">
        <f t="array" ref="B1427">INDEX(Reference!$C$2:$C$19, MOD(ROW()-2, 18) + 1)</f>
        <v>....Manufacturing</v>
      </c>
      <c r="C1427" s="1" t="str">
        <f t="shared" si="1"/>
        <v>Sub</v>
      </c>
      <c r="D1427" s="1">
        <f t="shared" si="2"/>
        <v>2023</v>
      </c>
      <c r="E1427" s="1" t="str">
        <f t="shared" si="3"/>
        <v>At Current Prices</v>
      </c>
      <c r="F1427" s="3">
        <v>1.43146362E8</v>
      </c>
    </row>
    <row r="1428" ht="15.75" customHeight="1">
      <c r="A1428" s="1" t="str">
        <f t="array" ref="A1428">INDEX(Reference!$A$2:$A$18, INT((ROW()-2)/(18*3*2)) + 1)</f>
        <v>Nothern Mindanao</v>
      </c>
      <c r="B1428" s="2" t="str">
        <f t="array" ref="B1428">INDEX(Reference!$C$2:$C$19, MOD(ROW()-2, 18) + 1)</f>
        <v>....Electricity, steam, water and waste management</v>
      </c>
      <c r="C1428" s="1" t="str">
        <f t="shared" si="1"/>
        <v>Sub</v>
      </c>
      <c r="D1428" s="1">
        <f t="shared" si="2"/>
        <v>2023</v>
      </c>
      <c r="E1428" s="1" t="str">
        <f t="shared" si="3"/>
        <v>At Current Prices</v>
      </c>
      <c r="F1428" s="3">
        <v>5.7229879E7</v>
      </c>
    </row>
    <row r="1429" ht="15.75" customHeight="1">
      <c r="A1429" s="1" t="str">
        <f t="array" ref="A1429">INDEX(Reference!$A$2:$A$18, INT((ROW()-2)/(18*3*2)) + 1)</f>
        <v>Nothern Mindanao</v>
      </c>
      <c r="B1429" s="2" t="str">
        <f t="array" ref="B1429">INDEX(Reference!$C$2:$C$19, MOD(ROW()-2, 18) + 1)</f>
        <v>....Construction</v>
      </c>
      <c r="C1429" s="1" t="str">
        <f t="shared" si="1"/>
        <v>Sub</v>
      </c>
      <c r="D1429" s="1">
        <f t="shared" si="2"/>
        <v>2023</v>
      </c>
      <c r="E1429" s="1" t="str">
        <f t="shared" si="3"/>
        <v>At Current Prices</v>
      </c>
      <c r="F1429" s="3">
        <v>8.9329728E7</v>
      </c>
    </row>
    <row r="1430" ht="15.75" customHeight="1">
      <c r="A1430" s="1" t="str">
        <f t="array" ref="A1430">INDEX(Reference!$A$2:$A$18, INT((ROW()-2)/(18*3*2)) + 1)</f>
        <v>Nothern Mindanao</v>
      </c>
      <c r="B1430" s="2" t="str">
        <f t="array" ref="B1430">INDEX(Reference!$C$2:$C$19, MOD(ROW()-2, 18) + 1)</f>
        <v>..Services</v>
      </c>
      <c r="C1430" s="1" t="str">
        <f t="shared" si="1"/>
        <v>Main</v>
      </c>
      <c r="D1430" s="1">
        <f t="shared" si="2"/>
        <v>2023</v>
      </c>
      <c r="E1430" s="1" t="str">
        <f t="shared" si="3"/>
        <v>At Current Prices</v>
      </c>
      <c r="F1430" s="3">
        <v>6.29812169E8</v>
      </c>
    </row>
    <row r="1431" ht="15.75" customHeight="1">
      <c r="A1431" s="1" t="str">
        <f t="array" ref="A1431">INDEX(Reference!$A$2:$A$18, INT((ROW()-2)/(18*3*2)) + 1)</f>
        <v>Nothern Mindanao</v>
      </c>
      <c r="B1431" s="2" t="str">
        <f t="array" ref="B1431">INDEX(Reference!$C$2:$C$19, MOD(ROW()-2, 18) + 1)</f>
        <v>....Wholesale and retail trade; repair of motor vehicles and motorcycles</v>
      </c>
      <c r="C1431" s="1" t="str">
        <f t="shared" si="1"/>
        <v>Sub</v>
      </c>
      <c r="D1431" s="1">
        <f t="shared" si="2"/>
        <v>2023</v>
      </c>
      <c r="E1431" s="1" t="str">
        <f t="shared" si="3"/>
        <v>At Current Prices</v>
      </c>
      <c r="F1431" s="3">
        <v>3.0614823E8</v>
      </c>
    </row>
    <row r="1432" ht="15.75" customHeight="1">
      <c r="A1432" s="1" t="str">
        <f t="array" ref="A1432">INDEX(Reference!$A$2:$A$18, INT((ROW()-2)/(18*3*2)) + 1)</f>
        <v>Nothern Mindanao</v>
      </c>
      <c r="B1432" s="2" t="str">
        <f t="array" ref="B1432">INDEX(Reference!$C$2:$C$19, MOD(ROW()-2, 18) + 1)</f>
        <v>....Transportation and storage</v>
      </c>
      <c r="C1432" s="1" t="str">
        <f t="shared" si="1"/>
        <v>Sub</v>
      </c>
      <c r="D1432" s="1">
        <f t="shared" si="2"/>
        <v>2023</v>
      </c>
      <c r="E1432" s="1" t="str">
        <f t="shared" si="3"/>
        <v>At Current Prices</v>
      </c>
      <c r="F1432" s="3">
        <v>3.5711851E7</v>
      </c>
    </row>
    <row r="1433" ht="15.75" customHeight="1">
      <c r="A1433" s="1" t="str">
        <f t="array" ref="A1433">INDEX(Reference!$A$2:$A$18, INT((ROW()-2)/(18*3*2)) + 1)</f>
        <v>Nothern Mindanao</v>
      </c>
      <c r="B1433" s="2" t="str">
        <f t="array" ref="B1433">INDEX(Reference!$C$2:$C$19, MOD(ROW()-2, 18) + 1)</f>
        <v>....Accommodation and food service activities</v>
      </c>
      <c r="C1433" s="1" t="str">
        <f t="shared" si="1"/>
        <v>Sub</v>
      </c>
      <c r="D1433" s="1">
        <f t="shared" si="2"/>
        <v>2023</v>
      </c>
      <c r="E1433" s="1" t="str">
        <f t="shared" si="3"/>
        <v>At Current Prices</v>
      </c>
      <c r="F1433" s="3">
        <v>2.8316031E7</v>
      </c>
    </row>
    <row r="1434" ht="15.75" customHeight="1">
      <c r="A1434" s="1" t="str">
        <f t="array" ref="A1434">INDEX(Reference!$A$2:$A$18, INT((ROW()-2)/(18*3*2)) + 1)</f>
        <v>Nothern Mindanao</v>
      </c>
      <c r="B1434" s="2" t="str">
        <f t="array" ref="B1434">INDEX(Reference!$C$2:$C$19, MOD(ROW()-2, 18) + 1)</f>
        <v>....Information and communication</v>
      </c>
      <c r="C1434" s="1" t="str">
        <f t="shared" si="1"/>
        <v>Sub</v>
      </c>
      <c r="D1434" s="1">
        <f t="shared" si="2"/>
        <v>2023</v>
      </c>
      <c r="E1434" s="1" t="str">
        <f t="shared" si="3"/>
        <v>At Current Prices</v>
      </c>
      <c r="F1434" s="3">
        <v>2.4844097E7</v>
      </c>
    </row>
    <row r="1435" ht="15.75" customHeight="1">
      <c r="A1435" s="1" t="str">
        <f t="array" ref="A1435">INDEX(Reference!$A$2:$A$18, INT((ROW()-2)/(18*3*2)) + 1)</f>
        <v>Nothern Mindanao</v>
      </c>
      <c r="B1435" s="2" t="str">
        <f t="array" ref="B1435">INDEX(Reference!$C$2:$C$19, MOD(ROW()-2, 18) + 1)</f>
        <v>....Financial and insurance activities</v>
      </c>
      <c r="C1435" s="1" t="str">
        <f t="shared" si="1"/>
        <v>Sub</v>
      </c>
      <c r="D1435" s="1">
        <f t="shared" si="2"/>
        <v>2023</v>
      </c>
      <c r="E1435" s="1" t="str">
        <f t="shared" si="3"/>
        <v>At Current Prices</v>
      </c>
      <c r="F1435" s="3">
        <v>5.0410638E7</v>
      </c>
    </row>
    <row r="1436" ht="15.75" customHeight="1">
      <c r="A1436" s="1" t="str">
        <f t="array" ref="A1436">INDEX(Reference!$A$2:$A$18, INT((ROW()-2)/(18*3*2)) + 1)</f>
        <v>Nothern Mindanao</v>
      </c>
      <c r="B1436" s="2" t="str">
        <f t="array" ref="B1436">INDEX(Reference!$C$2:$C$19, MOD(ROW()-2, 18) + 1)</f>
        <v>....Real estate and ownership of dwellings</v>
      </c>
      <c r="C1436" s="1" t="str">
        <f t="shared" si="1"/>
        <v>Sub</v>
      </c>
      <c r="D1436" s="1">
        <f t="shared" si="2"/>
        <v>2023</v>
      </c>
      <c r="E1436" s="1" t="str">
        <f t="shared" si="3"/>
        <v>At Current Prices</v>
      </c>
      <c r="F1436" s="3">
        <v>4.9605623E7</v>
      </c>
    </row>
    <row r="1437" ht="15.75" customHeight="1">
      <c r="A1437" s="1" t="str">
        <f t="array" ref="A1437">INDEX(Reference!$A$2:$A$18, INT((ROW()-2)/(18*3*2)) + 1)</f>
        <v>Nothern Mindanao</v>
      </c>
      <c r="B1437" s="2" t="str">
        <f t="array" ref="B1437">INDEX(Reference!$C$2:$C$19, MOD(ROW()-2, 18) + 1)</f>
        <v>....Professional and business services</v>
      </c>
      <c r="C1437" s="1" t="str">
        <f t="shared" si="1"/>
        <v>Sub</v>
      </c>
      <c r="D1437" s="1">
        <f t="shared" si="2"/>
        <v>2023</v>
      </c>
      <c r="E1437" s="1" t="str">
        <f t="shared" si="3"/>
        <v>At Current Prices</v>
      </c>
      <c r="F1437" s="3">
        <v>2.1820223E7</v>
      </c>
    </row>
    <row r="1438" ht="15.75" customHeight="1">
      <c r="A1438" s="1" t="str">
        <f t="array" ref="A1438">INDEX(Reference!$A$2:$A$18, INT((ROW()-2)/(18*3*2)) + 1)</f>
        <v>Nothern Mindanao</v>
      </c>
      <c r="B1438" s="2" t="str">
        <f t="array" ref="B1438">INDEX(Reference!$C$2:$C$19, MOD(ROW()-2, 18) + 1)</f>
        <v>....Public administration and defense; compulsory social activities</v>
      </c>
      <c r="C1438" s="1" t="str">
        <f t="shared" si="1"/>
        <v>Sub</v>
      </c>
      <c r="D1438" s="1">
        <f t="shared" si="2"/>
        <v>2023</v>
      </c>
      <c r="E1438" s="1" t="str">
        <f t="shared" si="3"/>
        <v>At Current Prices</v>
      </c>
      <c r="F1438" s="3">
        <v>4.0734893E7</v>
      </c>
    </row>
    <row r="1439" ht="15.75" customHeight="1">
      <c r="A1439" s="1" t="str">
        <f t="array" ref="A1439">INDEX(Reference!$A$2:$A$18, INT((ROW()-2)/(18*3*2)) + 1)</f>
        <v>Nothern Mindanao</v>
      </c>
      <c r="B1439" s="2" t="str">
        <f t="array" ref="B1439">INDEX(Reference!$C$2:$C$19, MOD(ROW()-2, 18) + 1)</f>
        <v>....Education</v>
      </c>
      <c r="C1439" s="1" t="str">
        <f t="shared" si="1"/>
        <v>Sub</v>
      </c>
      <c r="D1439" s="1">
        <f t="shared" si="2"/>
        <v>2023</v>
      </c>
      <c r="E1439" s="1" t="str">
        <f t="shared" si="3"/>
        <v>At Current Prices</v>
      </c>
      <c r="F1439" s="3">
        <v>4.3474239E7</v>
      </c>
    </row>
    <row r="1440" ht="15.75" customHeight="1">
      <c r="A1440" s="1" t="str">
        <f t="array" ref="A1440">INDEX(Reference!$A$2:$A$18, INT((ROW()-2)/(18*3*2)) + 1)</f>
        <v>Nothern Mindanao</v>
      </c>
      <c r="B1440" s="2" t="str">
        <f t="array" ref="B1440">INDEX(Reference!$C$2:$C$19, MOD(ROW()-2, 18) + 1)</f>
        <v>....Human health and social work activities</v>
      </c>
      <c r="C1440" s="1" t="str">
        <f t="shared" si="1"/>
        <v>Sub</v>
      </c>
      <c r="D1440" s="1">
        <f t="shared" si="2"/>
        <v>2023</v>
      </c>
      <c r="E1440" s="1" t="str">
        <f t="shared" si="3"/>
        <v>At Current Prices</v>
      </c>
      <c r="F1440" s="3">
        <v>1.8077228E7</v>
      </c>
    </row>
    <row r="1441" ht="15.75" customHeight="1">
      <c r="A1441" s="1" t="str">
        <f t="array" ref="A1441">INDEX(Reference!$A$2:$A$18, INT((ROW()-2)/(18*3*2)) + 1)</f>
        <v>Nothern Mindanao</v>
      </c>
      <c r="B1441" s="2" t="str">
        <f t="array" ref="B1441">INDEX(Reference!$C$2:$C$19, MOD(ROW()-2, 18) + 1)</f>
        <v>....Other services</v>
      </c>
      <c r="C1441" s="1" t="str">
        <f t="shared" si="1"/>
        <v>Sub</v>
      </c>
      <c r="D1441" s="1">
        <f t="shared" si="2"/>
        <v>2023</v>
      </c>
      <c r="E1441" s="1" t="str">
        <f t="shared" si="3"/>
        <v>At Current Prices</v>
      </c>
      <c r="F1441" s="3">
        <v>1.0669117E7</v>
      </c>
    </row>
    <row r="1442" ht="15.75" customHeight="1">
      <c r="A1442" s="1" t="str">
        <f t="array" ref="A1442">INDEX(Reference!$A$2:$A$18, INT((ROW()-2)/(18*3*2)) + 1)</f>
        <v>Nothern Mindanao</v>
      </c>
      <c r="B1442" s="2" t="str">
        <f t="array" ref="B1442">INDEX(Reference!$C$2:$C$19, MOD(ROW()-2, 18) + 1)</f>
        <v>..Agriculture, forestry, and fishing</v>
      </c>
      <c r="C1442" s="1" t="str">
        <f t="shared" si="1"/>
        <v>Main</v>
      </c>
      <c r="D1442" s="1">
        <f t="shared" si="2"/>
        <v>2024</v>
      </c>
      <c r="E1442" s="1" t="str">
        <f t="shared" si="3"/>
        <v>At Current Prices</v>
      </c>
      <c r="F1442" s="3">
        <v>2.54619091E8</v>
      </c>
    </row>
    <row r="1443" ht="15.75" customHeight="1">
      <c r="A1443" s="1" t="str">
        <f t="array" ref="A1443">INDEX(Reference!$A$2:$A$18, INT((ROW()-2)/(18*3*2)) + 1)</f>
        <v>Nothern Mindanao</v>
      </c>
      <c r="B1443" s="2" t="str">
        <f t="array" ref="B1443">INDEX(Reference!$C$2:$C$19, MOD(ROW()-2, 18) + 1)</f>
        <v>..Industry</v>
      </c>
      <c r="C1443" s="1" t="str">
        <f t="shared" si="1"/>
        <v>Main</v>
      </c>
      <c r="D1443" s="1">
        <f t="shared" si="2"/>
        <v>2024</v>
      </c>
      <c r="E1443" s="1" t="str">
        <f t="shared" si="3"/>
        <v>At Current Prices</v>
      </c>
      <c r="F1443" s="3">
        <v>3.16535654E8</v>
      </c>
    </row>
    <row r="1444" ht="15.75" customHeight="1">
      <c r="A1444" s="1" t="str">
        <f t="array" ref="A1444">INDEX(Reference!$A$2:$A$18, INT((ROW()-2)/(18*3*2)) + 1)</f>
        <v>Nothern Mindanao</v>
      </c>
      <c r="B1444" s="2" t="str">
        <f t="array" ref="B1444">INDEX(Reference!$C$2:$C$19, MOD(ROW()-2, 18) + 1)</f>
        <v>....Mining and quarrying</v>
      </c>
      <c r="C1444" s="1" t="str">
        <f t="shared" si="1"/>
        <v>Sub</v>
      </c>
      <c r="D1444" s="1">
        <f t="shared" si="2"/>
        <v>2024</v>
      </c>
      <c r="E1444" s="1" t="str">
        <f t="shared" si="3"/>
        <v>At Current Prices</v>
      </c>
      <c r="F1444" s="3">
        <v>3848868.0</v>
      </c>
    </row>
    <row r="1445" ht="15.75" customHeight="1">
      <c r="A1445" s="1" t="str">
        <f t="array" ref="A1445">INDEX(Reference!$A$2:$A$18, INT((ROW()-2)/(18*3*2)) + 1)</f>
        <v>Nothern Mindanao</v>
      </c>
      <c r="B1445" s="2" t="str">
        <f t="array" ref="B1445">INDEX(Reference!$C$2:$C$19, MOD(ROW()-2, 18) + 1)</f>
        <v>....Manufacturing</v>
      </c>
      <c r="C1445" s="1" t="str">
        <f t="shared" si="1"/>
        <v>Sub</v>
      </c>
      <c r="D1445" s="1">
        <f t="shared" si="2"/>
        <v>2024</v>
      </c>
      <c r="E1445" s="1" t="str">
        <f t="shared" si="3"/>
        <v>At Current Prices</v>
      </c>
      <c r="F1445" s="3">
        <v>1.5261585E8</v>
      </c>
    </row>
    <row r="1446" ht="15.75" customHeight="1">
      <c r="A1446" s="1" t="str">
        <f t="array" ref="A1446">INDEX(Reference!$A$2:$A$18, INT((ROW()-2)/(18*3*2)) + 1)</f>
        <v>Nothern Mindanao</v>
      </c>
      <c r="B1446" s="2" t="str">
        <f t="array" ref="B1446">INDEX(Reference!$C$2:$C$19, MOD(ROW()-2, 18) + 1)</f>
        <v>....Electricity, steam, water and waste management</v>
      </c>
      <c r="C1446" s="1" t="str">
        <f t="shared" si="1"/>
        <v>Sub</v>
      </c>
      <c r="D1446" s="1">
        <f t="shared" si="2"/>
        <v>2024</v>
      </c>
      <c r="E1446" s="1" t="str">
        <f t="shared" si="3"/>
        <v>At Current Prices</v>
      </c>
      <c r="F1446" s="3">
        <v>5.9719242E7</v>
      </c>
    </row>
    <row r="1447" ht="15.75" customHeight="1">
      <c r="A1447" s="1" t="str">
        <f t="array" ref="A1447">INDEX(Reference!$A$2:$A$18, INT((ROW()-2)/(18*3*2)) + 1)</f>
        <v>Nothern Mindanao</v>
      </c>
      <c r="B1447" s="2" t="str">
        <f t="array" ref="B1447">INDEX(Reference!$C$2:$C$19, MOD(ROW()-2, 18) + 1)</f>
        <v>....Construction</v>
      </c>
      <c r="C1447" s="1" t="str">
        <f t="shared" si="1"/>
        <v>Sub</v>
      </c>
      <c r="D1447" s="1">
        <f t="shared" si="2"/>
        <v>2024</v>
      </c>
      <c r="E1447" s="1" t="str">
        <f t="shared" si="3"/>
        <v>At Current Prices</v>
      </c>
      <c r="F1447" s="3">
        <v>1.00351694E8</v>
      </c>
    </row>
    <row r="1448" ht="15.75" customHeight="1">
      <c r="A1448" s="1" t="str">
        <f t="array" ref="A1448">INDEX(Reference!$A$2:$A$18, INT((ROW()-2)/(18*3*2)) + 1)</f>
        <v>Nothern Mindanao</v>
      </c>
      <c r="B1448" s="2" t="str">
        <f t="array" ref="B1448">INDEX(Reference!$C$2:$C$19, MOD(ROW()-2, 18) + 1)</f>
        <v>..Services</v>
      </c>
      <c r="C1448" s="1" t="str">
        <f t="shared" si="1"/>
        <v>Main</v>
      </c>
      <c r="D1448" s="1">
        <f t="shared" si="2"/>
        <v>2024</v>
      </c>
      <c r="E1448" s="1" t="str">
        <f t="shared" si="3"/>
        <v>At Current Prices</v>
      </c>
      <c r="F1448" s="3">
        <v>7.02282125E8</v>
      </c>
    </row>
    <row r="1449" ht="15.75" customHeight="1">
      <c r="A1449" s="1" t="str">
        <f t="array" ref="A1449">INDEX(Reference!$A$2:$A$18, INT((ROW()-2)/(18*3*2)) + 1)</f>
        <v>Nothern Mindanao</v>
      </c>
      <c r="B1449" s="2" t="str">
        <f t="array" ref="B1449">INDEX(Reference!$C$2:$C$19, MOD(ROW()-2, 18) + 1)</f>
        <v>....Wholesale and retail trade; repair of motor vehicles and motorcycles</v>
      </c>
      <c r="C1449" s="1" t="str">
        <f t="shared" si="1"/>
        <v>Sub</v>
      </c>
      <c r="D1449" s="1">
        <f t="shared" si="2"/>
        <v>2024</v>
      </c>
      <c r="E1449" s="1" t="str">
        <f t="shared" si="3"/>
        <v>At Current Prices</v>
      </c>
      <c r="F1449" s="3">
        <v>3.41756012E8</v>
      </c>
    </row>
    <row r="1450" ht="15.75" customHeight="1">
      <c r="A1450" s="1" t="str">
        <f t="array" ref="A1450">INDEX(Reference!$A$2:$A$18, INT((ROW()-2)/(18*3*2)) + 1)</f>
        <v>Nothern Mindanao</v>
      </c>
      <c r="B1450" s="2" t="str">
        <f t="array" ref="B1450">INDEX(Reference!$C$2:$C$19, MOD(ROW()-2, 18) + 1)</f>
        <v>....Transportation and storage</v>
      </c>
      <c r="C1450" s="1" t="str">
        <f t="shared" si="1"/>
        <v>Sub</v>
      </c>
      <c r="D1450" s="1">
        <f t="shared" si="2"/>
        <v>2024</v>
      </c>
      <c r="E1450" s="1" t="str">
        <f t="shared" si="3"/>
        <v>At Current Prices</v>
      </c>
      <c r="F1450" s="3">
        <v>4.0225933E7</v>
      </c>
    </row>
    <row r="1451" ht="15.75" customHeight="1">
      <c r="A1451" s="1" t="str">
        <f t="array" ref="A1451">INDEX(Reference!$A$2:$A$18, INT((ROW()-2)/(18*3*2)) + 1)</f>
        <v>Nothern Mindanao</v>
      </c>
      <c r="B1451" s="2" t="str">
        <f t="array" ref="B1451">INDEX(Reference!$C$2:$C$19, MOD(ROW()-2, 18) + 1)</f>
        <v>....Accommodation and food service activities</v>
      </c>
      <c r="C1451" s="1" t="str">
        <f t="shared" si="1"/>
        <v>Sub</v>
      </c>
      <c r="D1451" s="1">
        <f t="shared" si="2"/>
        <v>2024</v>
      </c>
      <c r="E1451" s="1" t="str">
        <f t="shared" si="3"/>
        <v>At Current Prices</v>
      </c>
      <c r="F1451" s="3">
        <v>3.2514512E7</v>
      </c>
    </row>
    <row r="1452" ht="15.75" customHeight="1">
      <c r="A1452" s="1" t="str">
        <f t="array" ref="A1452">INDEX(Reference!$A$2:$A$18, INT((ROW()-2)/(18*3*2)) + 1)</f>
        <v>Nothern Mindanao</v>
      </c>
      <c r="B1452" s="2" t="str">
        <f t="array" ref="B1452">INDEX(Reference!$C$2:$C$19, MOD(ROW()-2, 18) + 1)</f>
        <v>....Information and communication</v>
      </c>
      <c r="C1452" s="1" t="str">
        <f t="shared" si="1"/>
        <v>Sub</v>
      </c>
      <c r="D1452" s="1">
        <f t="shared" si="2"/>
        <v>2024</v>
      </c>
      <c r="E1452" s="1" t="str">
        <f t="shared" si="3"/>
        <v>At Current Prices</v>
      </c>
      <c r="F1452" s="3">
        <v>2.6306305E7</v>
      </c>
    </row>
    <row r="1453" ht="15.75" customHeight="1">
      <c r="A1453" s="1" t="str">
        <f t="array" ref="A1453">INDEX(Reference!$A$2:$A$18, INT((ROW()-2)/(18*3*2)) + 1)</f>
        <v>Nothern Mindanao</v>
      </c>
      <c r="B1453" s="2" t="str">
        <f t="array" ref="B1453">INDEX(Reference!$C$2:$C$19, MOD(ROW()-2, 18) + 1)</f>
        <v>....Financial and insurance activities</v>
      </c>
      <c r="C1453" s="1" t="str">
        <f t="shared" si="1"/>
        <v>Sub</v>
      </c>
      <c r="D1453" s="1">
        <f t="shared" si="2"/>
        <v>2024</v>
      </c>
      <c r="E1453" s="1" t="str">
        <f t="shared" si="3"/>
        <v>At Current Prices</v>
      </c>
      <c r="F1453" s="3">
        <v>5.6894921E7</v>
      </c>
    </row>
    <row r="1454" ht="15.75" customHeight="1">
      <c r="A1454" s="1" t="str">
        <f t="array" ref="A1454">INDEX(Reference!$A$2:$A$18, INT((ROW()-2)/(18*3*2)) + 1)</f>
        <v>Nothern Mindanao</v>
      </c>
      <c r="B1454" s="2" t="str">
        <f t="array" ref="B1454">INDEX(Reference!$C$2:$C$19, MOD(ROW()-2, 18) + 1)</f>
        <v>....Real estate and ownership of dwellings</v>
      </c>
      <c r="C1454" s="1" t="str">
        <f t="shared" si="1"/>
        <v>Sub</v>
      </c>
      <c r="D1454" s="1">
        <f t="shared" si="2"/>
        <v>2024</v>
      </c>
      <c r="E1454" s="1" t="str">
        <f t="shared" si="3"/>
        <v>At Current Prices</v>
      </c>
      <c r="F1454" s="3">
        <v>5.3802584E7</v>
      </c>
    </row>
    <row r="1455" ht="15.75" customHeight="1">
      <c r="A1455" s="1" t="str">
        <f t="array" ref="A1455">INDEX(Reference!$A$2:$A$18, INT((ROW()-2)/(18*3*2)) + 1)</f>
        <v>Nothern Mindanao</v>
      </c>
      <c r="B1455" s="2" t="str">
        <f t="array" ref="B1455">INDEX(Reference!$C$2:$C$19, MOD(ROW()-2, 18) + 1)</f>
        <v>....Professional and business services</v>
      </c>
      <c r="C1455" s="1" t="str">
        <f t="shared" si="1"/>
        <v>Sub</v>
      </c>
      <c r="D1455" s="1">
        <f t="shared" si="2"/>
        <v>2024</v>
      </c>
      <c r="E1455" s="1" t="str">
        <f t="shared" si="3"/>
        <v>At Current Prices</v>
      </c>
      <c r="F1455" s="3">
        <v>2.502661E7</v>
      </c>
    </row>
    <row r="1456" ht="15.75" customHeight="1">
      <c r="A1456" s="1" t="str">
        <f t="array" ref="A1456">INDEX(Reference!$A$2:$A$18, INT((ROW()-2)/(18*3*2)) + 1)</f>
        <v>Nothern Mindanao</v>
      </c>
      <c r="B1456" s="2" t="str">
        <f t="array" ref="B1456">INDEX(Reference!$C$2:$C$19, MOD(ROW()-2, 18) + 1)</f>
        <v>....Public administration and defense; compulsory social activities</v>
      </c>
      <c r="C1456" s="1" t="str">
        <f t="shared" si="1"/>
        <v>Sub</v>
      </c>
      <c r="D1456" s="1">
        <f t="shared" si="2"/>
        <v>2024</v>
      </c>
      <c r="E1456" s="1" t="str">
        <f t="shared" si="3"/>
        <v>At Current Prices</v>
      </c>
      <c r="F1456" s="3">
        <v>4.4734356E7</v>
      </c>
    </row>
    <row r="1457" ht="15.75" customHeight="1">
      <c r="A1457" s="1" t="str">
        <f t="array" ref="A1457">INDEX(Reference!$A$2:$A$18, INT((ROW()-2)/(18*3*2)) + 1)</f>
        <v>Nothern Mindanao</v>
      </c>
      <c r="B1457" s="2" t="str">
        <f t="array" ref="B1457">INDEX(Reference!$C$2:$C$19, MOD(ROW()-2, 18) + 1)</f>
        <v>....Education</v>
      </c>
      <c r="C1457" s="1" t="str">
        <f t="shared" si="1"/>
        <v>Sub</v>
      </c>
      <c r="D1457" s="1">
        <f t="shared" si="2"/>
        <v>2024</v>
      </c>
      <c r="E1457" s="1" t="str">
        <f t="shared" si="3"/>
        <v>At Current Prices</v>
      </c>
      <c r="F1457" s="3">
        <v>4.7504349E7</v>
      </c>
    </row>
    <row r="1458" ht="15.75" customHeight="1">
      <c r="A1458" s="1" t="str">
        <f t="array" ref="A1458">INDEX(Reference!$A$2:$A$18, INT((ROW()-2)/(18*3*2)) + 1)</f>
        <v>Nothern Mindanao</v>
      </c>
      <c r="B1458" s="2" t="str">
        <f t="array" ref="B1458">INDEX(Reference!$C$2:$C$19, MOD(ROW()-2, 18) + 1)</f>
        <v>....Human health and social work activities</v>
      </c>
      <c r="C1458" s="1" t="str">
        <f t="shared" si="1"/>
        <v>Sub</v>
      </c>
      <c r="D1458" s="1">
        <f t="shared" si="2"/>
        <v>2024</v>
      </c>
      <c r="E1458" s="1" t="str">
        <f t="shared" si="3"/>
        <v>At Current Prices</v>
      </c>
      <c r="F1458" s="3">
        <v>2.1017952E7</v>
      </c>
    </row>
    <row r="1459" ht="15.75" customHeight="1">
      <c r="A1459" s="1" t="str">
        <f t="array" ref="A1459">INDEX(Reference!$A$2:$A$18, INT((ROW()-2)/(18*3*2)) + 1)</f>
        <v>Nothern Mindanao</v>
      </c>
      <c r="B1459" s="2" t="str">
        <f t="array" ref="B1459">INDEX(Reference!$C$2:$C$19, MOD(ROW()-2, 18) + 1)</f>
        <v>....Other services</v>
      </c>
      <c r="C1459" s="1" t="str">
        <f t="shared" si="1"/>
        <v>Sub</v>
      </c>
      <c r="D1459" s="1">
        <f t="shared" si="2"/>
        <v>2024</v>
      </c>
      <c r="E1459" s="1" t="str">
        <f t="shared" si="3"/>
        <v>At Current Prices</v>
      </c>
      <c r="F1459" s="3">
        <v>1.2498591E7</v>
      </c>
    </row>
    <row r="1460" ht="15.75" customHeight="1">
      <c r="A1460" s="1" t="str">
        <f t="array" ref="A1460">INDEX(Reference!$A$2:$A$18, INT((ROW()-2)/(18*3*2)) + 1)</f>
        <v>Nothern Mindanao</v>
      </c>
      <c r="B1460" s="2" t="str">
        <f t="array" ref="B1460">INDEX(Reference!$C$2:$C$19, MOD(ROW()-2, 18) + 1)</f>
        <v>..Agriculture, forestry, and fishing</v>
      </c>
      <c r="C1460" s="1" t="str">
        <f t="shared" si="1"/>
        <v>Main</v>
      </c>
      <c r="D1460" s="1">
        <f t="shared" si="2"/>
        <v>2022</v>
      </c>
      <c r="E1460" s="1" t="str">
        <f t="shared" si="3"/>
        <v>At Constant 2018 Prices</v>
      </c>
      <c r="F1460" s="3">
        <v>1.86589071E8</v>
      </c>
    </row>
    <row r="1461" ht="15.75" customHeight="1">
      <c r="A1461" s="1" t="str">
        <f t="array" ref="A1461">INDEX(Reference!$A$2:$A$18, INT((ROW()-2)/(18*3*2)) + 1)</f>
        <v>Nothern Mindanao</v>
      </c>
      <c r="B1461" s="2" t="str">
        <f t="array" ref="B1461">INDEX(Reference!$C$2:$C$19, MOD(ROW()-2, 18) + 1)</f>
        <v>..Industry</v>
      </c>
      <c r="C1461" s="1" t="str">
        <f t="shared" si="1"/>
        <v>Main</v>
      </c>
      <c r="D1461" s="1">
        <f t="shared" si="2"/>
        <v>2022</v>
      </c>
      <c r="E1461" s="1" t="str">
        <f t="shared" si="3"/>
        <v>At Constant 2018 Prices</v>
      </c>
      <c r="F1461" s="3">
        <v>2.38830562E8</v>
      </c>
    </row>
    <row r="1462" ht="15.75" customHeight="1">
      <c r="A1462" s="1" t="str">
        <f t="array" ref="A1462">INDEX(Reference!$A$2:$A$18, INT((ROW()-2)/(18*3*2)) + 1)</f>
        <v>Nothern Mindanao</v>
      </c>
      <c r="B1462" s="2" t="str">
        <f t="array" ref="B1462">INDEX(Reference!$C$2:$C$19, MOD(ROW()-2, 18) + 1)</f>
        <v>....Mining and quarrying</v>
      </c>
      <c r="C1462" s="1" t="str">
        <f t="shared" si="1"/>
        <v>Sub</v>
      </c>
      <c r="D1462" s="1">
        <f t="shared" si="2"/>
        <v>2022</v>
      </c>
      <c r="E1462" s="1" t="str">
        <f t="shared" si="3"/>
        <v>At Constant 2018 Prices</v>
      </c>
      <c r="F1462" s="3">
        <v>3287467.0</v>
      </c>
    </row>
    <row r="1463" ht="15.75" customHeight="1">
      <c r="A1463" s="1" t="str">
        <f t="array" ref="A1463">INDEX(Reference!$A$2:$A$18, INT((ROW()-2)/(18*3*2)) + 1)</f>
        <v>Nothern Mindanao</v>
      </c>
      <c r="B1463" s="2" t="str">
        <f t="array" ref="B1463">INDEX(Reference!$C$2:$C$19, MOD(ROW()-2, 18) + 1)</f>
        <v>....Manufacturing</v>
      </c>
      <c r="C1463" s="1" t="str">
        <f t="shared" si="1"/>
        <v>Sub</v>
      </c>
      <c r="D1463" s="1">
        <f t="shared" si="2"/>
        <v>2022</v>
      </c>
      <c r="E1463" s="1" t="str">
        <f t="shared" si="3"/>
        <v>At Constant 2018 Prices</v>
      </c>
      <c r="F1463" s="3">
        <v>1.19921854E8</v>
      </c>
    </row>
    <row r="1464" ht="15.75" customHeight="1">
      <c r="A1464" s="1" t="str">
        <f t="array" ref="A1464">INDEX(Reference!$A$2:$A$18, INT((ROW()-2)/(18*3*2)) + 1)</f>
        <v>Nothern Mindanao</v>
      </c>
      <c r="B1464" s="2" t="str">
        <f t="array" ref="B1464">INDEX(Reference!$C$2:$C$19, MOD(ROW()-2, 18) + 1)</f>
        <v>....Electricity, steam, water and waste management</v>
      </c>
      <c r="C1464" s="1" t="str">
        <f t="shared" si="1"/>
        <v>Sub</v>
      </c>
      <c r="D1464" s="1">
        <f t="shared" si="2"/>
        <v>2022</v>
      </c>
      <c r="E1464" s="1" t="str">
        <f t="shared" si="3"/>
        <v>At Constant 2018 Prices</v>
      </c>
      <c r="F1464" s="3">
        <v>4.4803195E7</v>
      </c>
    </row>
    <row r="1465" ht="15.75" customHeight="1">
      <c r="A1465" s="1" t="str">
        <f t="array" ref="A1465">INDEX(Reference!$A$2:$A$18, INT((ROW()-2)/(18*3*2)) + 1)</f>
        <v>Nothern Mindanao</v>
      </c>
      <c r="B1465" s="2" t="str">
        <f t="array" ref="B1465">INDEX(Reference!$C$2:$C$19, MOD(ROW()-2, 18) + 1)</f>
        <v>....Construction</v>
      </c>
      <c r="C1465" s="1" t="str">
        <f t="shared" si="1"/>
        <v>Sub</v>
      </c>
      <c r="D1465" s="1">
        <f t="shared" si="2"/>
        <v>2022</v>
      </c>
      <c r="E1465" s="1" t="str">
        <f t="shared" si="3"/>
        <v>At Constant 2018 Prices</v>
      </c>
      <c r="F1465" s="3">
        <v>7.0818046E7</v>
      </c>
    </row>
    <row r="1466" ht="15.75" customHeight="1">
      <c r="A1466" s="1" t="str">
        <f t="array" ref="A1466">INDEX(Reference!$A$2:$A$18, INT((ROW()-2)/(18*3*2)) + 1)</f>
        <v>Nothern Mindanao</v>
      </c>
      <c r="B1466" s="2" t="str">
        <f t="array" ref="B1466">INDEX(Reference!$C$2:$C$19, MOD(ROW()-2, 18) + 1)</f>
        <v>..Services</v>
      </c>
      <c r="C1466" s="1" t="str">
        <f t="shared" si="1"/>
        <v>Main</v>
      </c>
      <c r="D1466" s="1">
        <f t="shared" si="2"/>
        <v>2022</v>
      </c>
      <c r="E1466" s="1" t="str">
        <f t="shared" si="3"/>
        <v>At Constant 2018 Prices</v>
      </c>
      <c r="F1466" s="3">
        <v>5.09853888E8</v>
      </c>
    </row>
    <row r="1467" ht="15.75" customHeight="1">
      <c r="A1467" s="1" t="str">
        <f t="array" ref="A1467">INDEX(Reference!$A$2:$A$18, INT((ROW()-2)/(18*3*2)) + 1)</f>
        <v>Nothern Mindanao</v>
      </c>
      <c r="B1467" s="2" t="str">
        <f t="array" ref="B1467">INDEX(Reference!$C$2:$C$19, MOD(ROW()-2, 18) + 1)</f>
        <v>....Wholesale and retail trade; repair of motor vehicles and motorcycles</v>
      </c>
      <c r="C1467" s="1" t="str">
        <f t="shared" si="1"/>
        <v>Sub</v>
      </c>
      <c r="D1467" s="1">
        <f t="shared" si="2"/>
        <v>2022</v>
      </c>
      <c r="E1467" s="1" t="str">
        <f t="shared" si="3"/>
        <v>At Constant 2018 Prices</v>
      </c>
      <c r="F1467" s="3">
        <v>2.54571567E8</v>
      </c>
    </row>
    <row r="1468" ht="15.75" customHeight="1">
      <c r="A1468" s="1" t="str">
        <f t="array" ref="A1468">INDEX(Reference!$A$2:$A$18, INT((ROW()-2)/(18*3*2)) + 1)</f>
        <v>Nothern Mindanao</v>
      </c>
      <c r="B1468" s="2" t="str">
        <f t="array" ref="B1468">INDEX(Reference!$C$2:$C$19, MOD(ROW()-2, 18) + 1)</f>
        <v>....Transportation and storage</v>
      </c>
      <c r="C1468" s="1" t="str">
        <f t="shared" si="1"/>
        <v>Sub</v>
      </c>
      <c r="D1468" s="1">
        <f t="shared" si="2"/>
        <v>2022</v>
      </c>
      <c r="E1468" s="1" t="str">
        <f t="shared" si="3"/>
        <v>At Constant 2018 Prices</v>
      </c>
      <c r="F1468" s="3">
        <v>2.4962523E7</v>
      </c>
    </row>
    <row r="1469" ht="15.75" customHeight="1">
      <c r="A1469" s="1" t="str">
        <f t="array" ref="A1469">INDEX(Reference!$A$2:$A$18, INT((ROW()-2)/(18*3*2)) + 1)</f>
        <v>Nothern Mindanao</v>
      </c>
      <c r="B1469" s="2" t="str">
        <f t="array" ref="B1469">INDEX(Reference!$C$2:$C$19, MOD(ROW()-2, 18) + 1)</f>
        <v>....Accommodation and food service activities</v>
      </c>
      <c r="C1469" s="1" t="str">
        <f t="shared" si="1"/>
        <v>Sub</v>
      </c>
      <c r="D1469" s="1">
        <f t="shared" si="2"/>
        <v>2022</v>
      </c>
      <c r="E1469" s="1" t="str">
        <f t="shared" si="3"/>
        <v>At Constant 2018 Prices</v>
      </c>
      <c r="F1469" s="3">
        <v>1.9182325E7</v>
      </c>
    </row>
    <row r="1470" ht="15.75" customHeight="1">
      <c r="A1470" s="1" t="str">
        <f t="array" ref="A1470">INDEX(Reference!$A$2:$A$18, INT((ROW()-2)/(18*3*2)) + 1)</f>
        <v>Nothern Mindanao</v>
      </c>
      <c r="B1470" s="2" t="str">
        <f t="array" ref="B1470">INDEX(Reference!$C$2:$C$19, MOD(ROW()-2, 18) + 1)</f>
        <v>....Information and communication</v>
      </c>
      <c r="C1470" s="1" t="str">
        <f t="shared" si="1"/>
        <v>Sub</v>
      </c>
      <c r="D1470" s="1">
        <f t="shared" si="2"/>
        <v>2022</v>
      </c>
      <c r="E1470" s="1" t="str">
        <f t="shared" si="3"/>
        <v>At Constant 2018 Prices</v>
      </c>
      <c r="F1470" s="3">
        <v>2.3011569E7</v>
      </c>
    </row>
    <row r="1471" ht="15.75" customHeight="1">
      <c r="A1471" s="1" t="str">
        <f t="array" ref="A1471">INDEX(Reference!$A$2:$A$18, INT((ROW()-2)/(18*3*2)) + 1)</f>
        <v>Nothern Mindanao</v>
      </c>
      <c r="B1471" s="2" t="str">
        <f t="array" ref="B1471">INDEX(Reference!$C$2:$C$19, MOD(ROW()-2, 18) + 1)</f>
        <v>....Financial and insurance activities</v>
      </c>
      <c r="C1471" s="1" t="str">
        <f t="shared" si="1"/>
        <v>Sub</v>
      </c>
      <c r="D1471" s="1">
        <f t="shared" si="2"/>
        <v>2022</v>
      </c>
      <c r="E1471" s="1" t="str">
        <f t="shared" si="3"/>
        <v>At Constant 2018 Prices</v>
      </c>
      <c r="F1471" s="3">
        <v>3.8223683E7</v>
      </c>
    </row>
    <row r="1472" ht="15.75" customHeight="1">
      <c r="A1472" s="1" t="str">
        <f t="array" ref="A1472">INDEX(Reference!$A$2:$A$18, INT((ROW()-2)/(18*3*2)) + 1)</f>
        <v>Nothern Mindanao</v>
      </c>
      <c r="B1472" s="2" t="str">
        <f t="array" ref="B1472">INDEX(Reference!$C$2:$C$19, MOD(ROW()-2, 18) + 1)</f>
        <v>....Real estate and ownership of dwellings</v>
      </c>
      <c r="C1472" s="1" t="str">
        <f t="shared" si="1"/>
        <v>Sub</v>
      </c>
      <c r="D1472" s="1">
        <f t="shared" si="2"/>
        <v>2022</v>
      </c>
      <c r="E1472" s="1" t="str">
        <f t="shared" si="3"/>
        <v>At Constant 2018 Prices</v>
      </c>
      <c r="F1472" s="3">
        <v>3.9714366E7</v>
      </c>
    </row>
    <row r="1473" ht="15.75" customHeight="1">
      <c r="A1473" s="1" t="str">
        <f t="array" ref="A1473">INDEX(Reference!$A$2:$A$18, INT((ROW()-2)/(18*3*2)) + 1)</f>
        <v>Nothern Mindanao</v>
      </c>
      <c r="B1473" s="2" t="str">
        <f t="array" ref="B1473">INDEX(Reference!$C$2:$C$19, MOD(ROW()-2, 18) + 1)</f>
        <v>....Professional and business services</v>
      </c>
      <c r="C1473" s="1" t="str">
        <f t="shared" si="1"/>
        <v>Sub</v>
      </c>
      <c r="D1473" s="1">
        <f t="shared" si="2"/>
        <v>2022</v>
      </c>
      <c r="E1473" s="1" t="str">
        <f t="shared" si="3"/>
        <v>At Constant 2018 Prices</v>
      </c>
      <c r="F1473" s="3">
        <v>1.9311308E7</v>
      </c>
    </row>
    <row r="1474" ht="15.75" customHeight="1">
      <c r="A1474" s="1" t="str">
        <f t="array" ref="A1474">INDEX(Reference!$A$2:$A$18, INT((ROW()-2)/(18*3*2)) + 1)</f>
        <v>Nothern Mindanao</v>
      </c>
      <c r="B1474" s="2" t="str">
        <f t="array" ref="B1474">INDEX(Reference!$C$2:$C$19, MOD(ROW()-2, 18) + 1)</f>
        <v>....Public administration and defense; compulsory social activities</v>
      </c>
      <c r="C1474" s="1" t="str">
        <f t="shared" si="1"/>
        <v>Sub</v>
      </c>
      <c r="D1474" s="1">
        <f t="shared" si="2"/>
        <v>2022</v>
      </c>
      <c r="E1474" s="1" t="str">
        <f t="shared" si="3"/>
        <v>At Constant 2018 Prices</v>
      </c>
      <c r="F1474" s="3">
        <v>3.123288E7</v>
      </c>
    </row>
    <row r="1475" ht="15.75" customHeight="1">
      <c r="A1475" s="1" t="str">
        <f t="array" ref="A1475">INDEX(Reference!$A$2:$A$18, INT((ROW()-2)/(18*3*2)) + 1)</f>
        <v>Nothern Mindanao</v>
      </c>
      <c r="B1475" s="2" t="str">
        <f t="array" ref="B1475">INDEX(Reference!$C$2:$C$19, MOD(ROW()-2, 18) + 1)</f>
        <v>....Education</v>
      </c>
      <c r="C1475" s="1" t="str">
        <f t="shared" si="1"/>
        <v>Sub</v>
      </c>
      <c r="D1475" s="1">
        <f t="shared" si="2"/>
        <v>2022</v>
      </c>
      <c r="E1475" s="1" t="str">
        <f t="shared" si="3"/>
        <v>At Constant 2018 Prices</v>
      </c>
      <c r="F1475" s="3">
        <v>3.6970181E7</v>
      </c>
    </row>
    <row r="1476" ht="15.75" customHeight="1">
      <c r="A1476" s="1" t="str">
        <f t="array" ref="A1476">INDEX(Reference!$A$2:$A$18, INT((ROW()-2)/(18*3*2)) + 1)</f>
        <v>Nothern Mindanao</v>
      </c>
      <c r="B1476" s="2" t="str">
        <f t="array" ref="B1476">INDEX(Reference!$C$2:$C$19, MOD(ROW()-2, 18) + 1)</f>
        <v>....Human health and social work activities</v>
      </c>
      <c r="C1476" s="1" t="str">
        <f t="shared" si="1"/>
        <v>Sub</v>
      </c>
      <c r="D1476" s="1">
        <f t="shared" si="2"/>
        <v>2022</v>
      </c>
      <c r="E1476" s="1" t="str">
        <f t="shared" si="3"/>
        <v>At Constant 2018 Prices</v>
      </c>
      <c r="F1476" s="3">
        <v>1.4329699E7</v>
      </c>
    </row>
    <row r="1477" ht="15.75" customHeight="1">
      <c r="A1477" s="1" t="str">
        <f t="array" ref="A1477">INDEX(Reference!$A$2:$A$18, INT((ROW()-2)/(18*3*2)) + 1)</f>
        <v>Nothern Mindanao</v>
      </c>
      <c r="B1477" s="2" t="str">
        <f t="array" ref="B1477">INDEX(Reference!$C$2:$C$19, MOD(ROW()-2, 18) + 1)</f>
        <v>....Other services</v>
      </c>
      <c r="C1477" s="1" t="str">
        <f t="shared" si="1"/>
        <v>Sub</v>
      </c>
      <c r="D1477" s="1">
        <f t="shared" si="2"/>
        <v>2022</v>
      </c>
      <c r="E1477" s="1" t="str">
        <f t="shared" si="3"/>
        <v>At Constant 2018 Prices</v>
      </c>
      <c r="F1477" s="3">
        <v>8343788.0</v>
      </c>
    </row>
    <row r="1478" ht="15.75" customHeight="1">
      <c r="A1478" s="1" t="str">
        <f t="array" ref="A1478">INDEX(Reference!$A$2:$A$18, INT((ROW()-2)/(18*3*2)) + 1)</f>
        <v>Nothern Mindanao</v>
      </c>
      <c r="B1478" s="2" t="str">
        <f t="array" ref="B1478">INDEX(Reference!$C$2:$C$19, MOD(ROW()-2, 18) + 1)</f>
        <v>..Agriculture, forestry, and fishing</v>
      </c>
      <c r="C1478" s="1" t="str">
        <f t="shared" si="1"/>
        <v>Main</v>
      </c>
      <c r="D1478" s="1">
        <f t="shared" si="2"/>
        <v>2023</v>
      </c>
      <c r="E1478" s="1" t="str">
        <f t="shared" si="3"/>
        <v>At Constant 2018 Prices</v>
      </c>
      <c r="F1478" s="3">
        <v>1.86968043E8</v>
      </c>
    </row>
    <row r="1479" ht="15.75" customHeight="1">
      <c r="A1479" s="1" t="str">
        <f t="array" ref="A1479">INDEX(Reference!$A$2:$A$18, INT((ROW()-2)/(18*3*2)) + 1)</f>
        <v>Nothern Mindanao</v>
      </c>
      <c r="B1479" s="2" t="str">
        <f t="array" ref="B1479">INDEX(Reference!$C$2:$C$19, MOD(ROW()-2, 18) + 1)</f>
        <v>..Industry</v>
      </c>
      <c r="C1479" s="1" t="str">
        <f t="shared" si="1"/>
        <v>Main</v>
      </c>
      <c r="D1479" s="1">
        <f t="shared" si="2"/>
        <v>2023</v>
      </c>
      <c r="E1479" s="1" t="str">
        <f t="shared" si="3"/>
        <v>At Constant 2018 Prices</v>
      </c>
      <c r="F1479" s="3">
        <v>2.47964009E8</v>
      </c>
    </row>
    <row r="1480" ht="15.75" customHeight="1">
      <c r="A1480" s="1" t="str">
        <f t="array" ref="A1480">INDEX(Reference!$A$2:$A$18, INT((ROW()-2)/(18*3*2)) + 1)</f>
        <v>Nothern Mindanao</v>
      </c>
      <c r="B1480" s="2" t="str">
        <f t="array" ref="B1480">INDEX(Reference!$C$2:$C$19, MOD(ROW()-2, 18) + 1)</f>
        <v>....Mining and quarrying</v>
      </c>
      <c r="C1480" s="1" t="str">
        <f t="shared" si="1"/>
        <v>Sub</v>
      </c>
      <c r="D1480" s="1">
        <f t="shared" si="2"/>
        <v>2023</v>
      </c>
      <c r="E1480" s="1" t="str">
        <f t="shared" si="3"/>
        <v>At Constant 2018 Prices</v>
      </c>
      <c r="F1480" s="3">
        <v>3229090.0</v>
      </c>
    </row>
    <row r="1481" ht="15.75" customHeight="1">
      <c r="A1481" s="1" t="str">
        <f t="array" ref="A1481">INDEX(Reference!$A$2:$A$18, INT((ROW()-2)/(18*3*2)) + 1)</f>
        <v>Nothern Mindanao</v>
      </c>
      <c r="B1481" s="2" t="str">
        <f t="array" ref="B1481">INDEX(Reference!$C$2:$C$19, MOD(ROW()-2, 18) + 1)</f>
        <v>....Manufacturing</v>
      </c>
      <c r="C1481" s="1" t="str">
        <f t="shared" si="1"/>
        <v>Sub</v>
      </c>
      <c r="D1481" s="1">
        <f t="shared" si="2"/>
        <v>2023</v>
      </c>
      <c r="E1481" s="1" t="str">
        <f t="shared" si="3"/>
        <v>At Constant 2018 Prices</v>
      </c>
      <c r="F1481" s="3">
        <v>1.18388703E8</v>
      </c>
    </row>
    <row r="1482" ht="15.75" customHeight="1">
      <c r="A1482" s="1" t="str">
        <f t="array" ref="A1482">INDEX(Reference!$A$2:$A$18, INT((ROW()-2)/(18*3*2)) + 1)</f>
        <v>Nothern Mindanao</v>
      </c>
      <c r="B1482" s="2" t="str">
        <f t="array" ref="B1482">INDEX(Reference!$C$2:$C$19, MOD(ROW()-2, 18) + 1)</f>
        <v>....Electricity, steam, water and waste management</v>
      </c>
      <c r="C1482" s="1" t="str">
        <f t="shared" si="1"/>
        <v>Sub</v>
      </c>
      <c r="D1482" s="1">
        <f t="shared" si="2"/>
        <v>2023</v>
      </c>
      <c r="E1482" s="1" t="str">
        <f t="shared" si="3"/>
        <v>At Constant 2018 Prices</v>
      </c>
      <c r="F1482" s="3">
        <v>4.8427493E7</v>
      </c>
    </row>
    <row r="1483" ht="15.75" customHeight="1">
      <c r="A1483" s="1" t="str">
        <f t="array" ref="A1483">INDEX(Reference!$A$2:$A$18, INT((ROW()-2)/(18*3*2)) + 1)</f>
        <v>Nothern Mindanao</v>
      </c>
      <c r="B1483" s="2" t="str">
        <f t="array" ref="B1483">INDEX(Reference!$C$2:$C$19, MOD(ROW()-2, 18) + 1)</f>
        <v>....Construction</v>
      </c>
      <c r="C1483" s="1" t="str">
        <f t="shared" si="1"/>
        <v>Sub</v>
      </c>
      <c r="D1483" s="1">
        <f t="shared" si="2"/>
        <v>2023</v>
      </c>
      <c r="E1483" s="1" t="str">
        <f t="shared" si="3"/>
        <v>At Constant 2018 Prices</v>
      </c>
      <c r="F1483" s="3">
        <v>7.7918723E7</v>
      </c>
    </row>
    <row r="1484" ht="15.75" customHeight="1">
      <c r="A1484" s="1" t="str">
        <f t="array" ref="A1484">INDEX(Reference!$A$2:$A$18, INT((ROW()-2)/(18*3*2)) + 1)</f>
        <v>Nothern Mindanao</v>
      </c>
      <c r="B1484" s="2" t="str">
        <f t="array" ref="B1484">INDEX(Reference!$C$2:$C$19, MOD(ROW()-2, 18) + 1)</f>
        <v>..Services</v>
      </c>
      <c r="C1484" s="1" t="str">
        <f t="shared" si="1"/>
        <v>Main</v>
      </c>
      <c r="D1484" s="1">
        <f t="shared" si="2"/>
        <v>2023</v>
      </c>
      <c r="E1484" s="1" t="str">
        <f t="shared" si="3"/>
        <v>At Constant 2018 Prices</v>
      </c>
      <c r="F1484" s="3">
        <v>5.49234782E8</v>
      </c>
    </row>
    <row r="1485" ht="15.75" customHeight="1">
      <c r="A1485" s="1" t="str">
        <f t="array" ref="A1485">INDEX(Reference!$A$2:$A$18, INT((ROW()-2)/(18*3*2)) + 1)</f>
        <v>Nothern Mindanao</v>
      </c>
      <c r="B1485" s="2" t="str">
        <f t="array" ref="B1485">INDEX(Reference!$C$2:$C$19, MOD(ROW()-2, 18) + 1)</f>
        <v>....Wholesale and retail trade; repair of motor vehicles and motorcycles</v>
      </c>
      <c r="C1485" s="1" t="str">
        <f t="shared" si="1"/>
        <v>Sub</v>
      </c>
      <c r="D1485" s="1">
        <f t="shared" si="2"/>
        <v>2023</v>
      </c>
      <c r="E1485" s="1" t="str">
        <f t="shared" si="3"/>
        <v>At Constant 2018 Prices</v>
      </c>
      <c r="F1485" s="3">
        <v>2.69500146E8</v>
      </c>
    </row>
    <row r="1486" ht="15.75" customHeight="1">
      <c r="A1486" s="1" t="str">
        <f t="array" ref="A1486">INDEX(Reference!$A$2:$A$18, INT((ROW()-2)/(18*3*2)) + 1)</f>
        <v>Nothern Mindanao</v>
      </c>
      <c r="B1486" s="2" t="str">
        <f t="array" ref="B1486">INDEX(Reference!$C$2:$C$19, MOD(ROW()-2, 18) + 1)</f>
        <v>....Transportation and storage</v>
      </c>
      <c r="C1486" s="1" t="str">
        <f t="shared" si="1"/>
        <v>Sub</v>
      </c>
      <c r="D1486" s="1">
        <f t="shared" si="2"/>
        <v>2023</v>
      </c>
      <c r="E1486" s="1" t="str">
        <f t="shared" si="3"/>
        <v>At Constant 2018 Prices</v>
      </c>
      <c r="F1486" s="3">
        <v>3.0207674E7</v>
      </c>
    </row>
    <row r="1487" ht="15.75" customHeight="1">
      <c r="A1487" s="1" t="str">
        <f t="array" ref="A1487">INDEX(Reference!$A$2:$A$18, INT((ROW()-2)/(18*3*2)) + 1)</f>
        <v>Nothern Mindanao</v>
      </c>
      <c r="B1487" s="2" t="str">
        <f t="array" ref="B1487">INDEX(Reference!$C$2:$C$19, MOD(ROW()-2, 18) + 1)</f>
        <v>....Accommodation and food service activities</v>
      </c>
      <c r="C1487" s="1" t="str">
        <f t="shared" si="1"/>
        <v>Sub</v>
      </c>
      <c r="D1487" s="1">
        <f t="shared" si="2"/>
        <v>2023</v>
      </c>
      <c r="E1487" s="1" t="str">
        <f t="shared" si="3"/>
        <v>At Constant 2018 Prices</v>
      </c>
      <c r="F1487" s="3">
        <v>2.2546911E7</v>
      </c>
    </row>
    <row r="1488" ht="15.75" customHeight="1">
      <c r="A1488" s="1" t="str">
        <f t="array" ref="A1488">INDEX(Reference!$A$2:$A$18, INT((ROW()-2)/(18*3*2)) + 1)</f>
        <v>Nothern Mindanao</v>
      </c>
      <c r="B1488" s="2" t="str">
        <f t="array" ref="B1488">INDEX(Reference!$C$2:$C$19, MOD(ROW()-2, 18) + 1)</f>
        <v>....Information and communication</v>
      </c>
      <c r="C1488" s="1" t="str">
        <f t="shared" si="1"/>
        <v>Sub</v>
      </c>
      <c r="D1488" s="1">
        <f t="shared" si="2"/>
        <v>2023</v>
      </c>
      <c r="E1488" s="1" t="str">
        <f t="shared" si="3"/>
        <v>At Constant 2018 Prices</v>
      </c>
      <c r="F1488" s="3">
        <v>2.3677378E7</v>
      </c>
    </row>
    <row r="1489" ht="15.75" customHeight="1">
      <c r="A1489" s="1" t="str">
        <f t="array" ref="A1489">INDEX(Reference!$A$2:$A$18, INT((ROW()-2)/(18*3*2)) + 1)</f>
        <v>Nothern Mindanao</v>
      </c>
      <c r="B1489" s="2" t="str">
        <f t="array" ref="B1489">INDEX(Reference!$C$2:$C$19, MOD(ROW()-2, 18) + 1)</f>
        <v>....Financial and insurance activities</v>
      </c>
      <c r="C1489" s="1" t="str">
        <f t="shared" si="1"/>
        <v>Sub</v>
      </c>
      <c r="D1489" s="1">
        <f t="shared" si="2"/>
        <v>2023</v>
      </c>
      <c r="E1489" s="1" t="str">
        <f t="shared" si="3"/>
        <v>At Constant 2018 Prices</v>
      </c>
      <c r="F1489" s="3">
        <v>4.2367754E7</v>
      </c>
    </row>
    <row r="1490" ht="15.75" customHeight="1">
      <c r="A1490" s="1" t="str">
        <f t="array" ref="A1490">INDEX(Reference!$A$2:$A$18, INT((ROW()-2)/(18*3*2)) + 1)</f>
        <v>Nothern Mindanao</v>
      </c>
      <c r="B1490" s="2" t="str">
        <f t="array" ref="B1490">INDEX(Reference!$C$2:$C$19, MOD(ROW()-2, 18) + 1)</f>
        <v>....Real estate and ownership of dwellings</v>
      </c>
      <c r="C1490" s="1" t="str">
        <f t="shared" si="1"/>
        <v>Sub</v>
      </c>
      <c r="D1490" s="1">
        <f t="shared" si="2"/>
        <v>2023</v>
      </c>
      <c r="E1490" s="1" t="str">
        <f t="shared" si="3"/>
        <v>At Constant 2018 Prices</v>
      </c>
      <c r="F1490" s="3">
        <v>4.0910221E7</v>
      </c>
    </row>
    <row r="1491" ht="15.75" customHeight="1">
      <c r="A1491" s="1" t="str">
        <f t="array" ref="A1491">INDEX(Reference!$A$2:$A$18, INT((ROW()-2)/(18*3*2)) + 1)</f>
        <v>Nothern Mindanao</v>
      </c>
      <c r="B1491" s="2" t="str">
        <f t="array" ref="B1491">INDEX(Reference!$C$2:$C$19, MOD(ROW()-2, 18) + 1)</f>
        <v>....Professional and business services</v>
      </c>
      <c r="C1491" s="1" t="str">
        <f t="shared" si="1"/>
        <v>Sub</v>
      </c>
      <c r="D1491" s="1">
        <f t="shared" si="2"/>
        <v>2023</v>
      </c>
      <c r="E1491" s="1" t="str">
        <f t="shared" si="3"/>
        <v>At Constant 2018 Prices</v>
      </c>
      <c r="F1491" s="3">
        <v>2.0701197E7</v>
      </c>
    </row>
    <row r="1492" ht="15.75" customHeight="1">
      <c r="A1492" s="1" t="str">
        <f t="array" ref="A1492">INDEX(Reference!$A$2:$A$18, INT((ROW()-2)/(18*3*2)) + 1)</f>
        <v>Nothern Mindanao</v>
      </c>
      <c r="B1492" s="2" t="str">
        <f t="array" ref="B1492">INDEX(Reference!$C$2:$C$19, MOD(ROW()-2, 18) + 1)</f>
        <v>....Public administration and defense; compulsory social activities</v>
      </c>
      <c r="C1492" s="1" t="str">
        <f t="shared" si="1"/>
        <v>Sub</v>
      </c>
      <c r="D1492" s="1">
        <f t="shared" si="2"/>
        <v>2023</v>
      </c>
      <c r="E1492" s="1" t="str">
        <f t="shared" si="3"/>
        <v>At Constant 2018 Prices</v>
      </c>
      <c r="F1492" s="3">
        <v>3.5117328E7</v>
      </c>
    </row>
    <row r="1493" ht="15.75" customHeight="1">
      <c r="A1493" s="1" t="str">
        <f t="array" ref="A1493">INDEX(Reference!$A$2:$A$18, INT((ROW()-2)/(18*3*2)) + 1)</f>
        <v>Nothern Mindanao</v>
      </c>
      <c r="B1493" s="2" t="str">
        <f t="array" ref="B1493">INDEX(Reference!$C$2:$C$19, MOD(ROW()-2, 18) + 1)</f>
        <v>....Education</v>
      </c>
      <c r="C1493" s="1" t="str">
        <f t="shared" si="1"/>
        <v>Sub</v>
      </c>
      <c r="D1493" s="1">
        <f t="shared" si="2"/>
        <v>2023</v>
      </c>
      <c r="E1493" s="1" t="str">
        <f t="shared" si="3"/>
        <v>At Constant 2018 Prices</v>
      </c>
      <c r="F1493" s="3">
        <v>3.9316798E7</v>
      </c>
    </row>
    <row r="1494" ht="15.75" customHeight="1">
      <c r="A1494" s="1" t="str">
        <f t="array" ref="A1494">INDEX(Reference!$A$2:$A$18, INT((ROW()-2)/(18*3*2)) + 1)</f>
        <v>Nothern Mindanao</v>
      </c>
      <c r="B1494" s="2" t="str">
        <f t="array" ref="B1494">INDEX(Reference!$C$2:$C$19, MOD(ROW()-2, 18) + 1)</f>
        <v>....Human health and social work activities</v>
      </c>
      <c r="C1494" s="1" t="str">
        <f t="shared" si="1"/>
        <v>Sub</v>
      </c>
      <c r="D1494" s="1">
        <f t="shared" si="2"/>
        <v>2023</v>
      </c>
      <c r="E1494" s="1" t="str">
        <f t="shared" si="3"/>
        <v>At Constant 2018 Prices</v>
      </c>
      <c r="F1494" s="3">
        <v>1.5714103E7</v>
      </c>
    </row>
    <row r="1495" ht="15.75" customHeight="1">
      <c r="A1495" s="1" t="str">
        <f t="array" ref="A1495">INDEX(Reference!$A$2:$A$18, INT((ROW()-2)/(18*3*2)) + 1)</f>
        <v>Nothern Mindanao</v>
      </c>
      <c r="B1495" s="2" t="str">
        <f t="array" ref="B1495">INDEX(Reference!$C$2:$C$19, MOD(ROW()-2, 18) + 1)</f>
        <v>....Other services</v>
      </c>
      <c r="C1495" s="1" t="str">
        <f t="shared" si="1"/>
        <v>Sub</v>
      </c>
      <c r="D1495" s="1">
        <f t="shared" si="2"/>
        <v>2023</v>
      </c>
      <c r="E1495" s="1" t="str">
        <f t="shared" si="3"/>
        <v>At Constant 2018 Prices</v>
      </c>
      <c r="F1495" s="3">
        <v>9175271.0</v>
      </c>
    </row>
    <row r="1496" ht="15.75" customHeight="1">
      <c r="A1496" s="1" t="str">
        <f t="array" ref="A1496">INDEX(Reference!$A$2:$A$18, INT((ROW()-2)/(18*3*2)) + 1)</f>
        <v>Nothern Mindanao</v>
      </c>
      <c r="B1496" s="2" t="str">
        <f t="array" ref="B1496">INDEX(Reference!$C$2:$C$19, MOD(ROW()-2, 18) + 1)</f>
        <v>..Agriculture, forestry, and fishing</v>
      </c>
      <c r="C1496" s="1" t="str">
        <f t="shared" si="1"/>
        <v>Main</v>
      </c>
      <c r="D1496" s="1">
        <f t="shared" si="2"/>
        <v>2024</v>
      </c>
      <c r="E1496" s="1" t="str">
        <f t="shared" si="3"/>
        <v>At Constant 2018 Prices</v>
      </c>
      <c r="F1496" s="3">
        <v>1.8706329E8</v>
      </c>
    </row>
    <row r="1497" ht="15.75" customHeight="1">
      <c r="A1497" s="1" t="str">
        <f t="array" ref="A1497">INDEX(Reference!$A$2:$A$18, INT((ROW()-2)/(18*3*2)) + 1)</f>
        <v>Nothern Mindanao</v>
      </c>
      <c r="B1497" s="2" t="str">
        <f t="array" ref="B1497">INDEX(Reference!$C$2:$C$19, MOD(ROW()-2, 18) + 1)</f>
        <v>..Industry</v>
      </c>
      <c r="C1497" s="1" t="str">
        <f t="shared" si="1"/>
        <v>Main</v>
      </c>
      <c r="D1497" s="1">
        <f t="shared" si="2"/>
        <v>2024</v>
      </c>
      <c r="E1497" s="1" t="str">
        <f t="shared" si="3"/>
        <v>At Constant 2018 Prices</v>
      </c>
      <c r="F1497" s="3">
        <v>2.6666932E8</v>
      </c>
    </row>
    <row r="1498" ht="15.75" customHeight="1">
      <c r="A1498" s="1" t="str">
        <f t="array" ref="A1498">INDEX(Reference!$A$2:$A$18, INT((ROW()-2)/(18*3*2)) + 1)</f>
        <v>Nothern Mindanao</v>
      </c>
      <c r="B1498" s="2" t="str">
        <f t="array" ref="B1498">INDEX(Reference!$C$2:$C$19, MOD(ROW()-2, 18) + 1)</f>
        <v>....Mining and quarrying</v>
      </c>
      <c r="C1498" s="1" t="str">
        <f t="shared" si="1"/>
        <v>Sub</v>
      </c>
      <c r="D1498" s="1">
        <f t="shared" si="2"/>
        <v>2024</v>
      </c>
      <c r="E1498" s="1" t="str">
        <f t="shared" si="3"/>
        <v>At Constant 2018 Prices</v>
      </c>
      <c r="F1498" s="3">
        <v>3474076.0</v>
      </c>
    </row>
    <row r="1499" ht="15.75" customHeight="1">
      <c r="A1499" s="1" t="str">
        <f t="array" ref="A1499">INDEX(Reference!$A$2:$A$18, INT((ROW()-2)/(18*3*2)) + 1)</f>
        <v>Nothern Mindanao</v>
      </c>
      <c r="B1499" s="2" t="str">
        <f t="array" ref="B1499">INDEX(Reference!$C$2:$C$19, MOD(ROW()-2, 18) + 1)</f>
        <v>....Manufacturing</v>
      </c>
      <c r="C1499" s="1" t="str">
        <f t="shared" si="1"/>
        <v>Sub</v>
      </c>
      <c r="D1499" s="1">
        <f t="shared" si="2"/>
        <v>2024</v>
      </c>
      <c r="E1499" s="1" t="str">
        <f t="shared" si="3"/>
        <v>At Constant 2018 Prices</v>
      </c>
      <c r="F1499" s="3">
        <v>1.24653306E8</v>
      </c>
    </row>
    <row r="1500" ht="15.75" customHeight="1">
      <c r="A1500" s="1" t="str">
        <f t="array" ref="A1500">INDEX(Reference!$A$2:$A$18, INT((ROW()-2)/(18*3*2)) + 1)</f>
        <v>Nothern Mindanao</v>
      </c>
      <c r="B1500" s="2" t="str">
        <f t="array" ref="B1500">INDEX(Reference!$C$2:$C$19, MOD(ROW()-2, 18) + 1)</f>
        <v>....Electricity, steam, water and waste management</v>
      </c>
      <c r="C1500" s="1" t="str">
        <f t="shared" si="1"/>
        <v>Sub</v>
      </c>
      <c r="D1500" s="1">
        <f t="shared" si="2"/>
        <v>2024</v>
      </c>
      <c r="E1500" s="1" t="str">
        <f t="shared" si="3"/>
        <v>At Constant 2018 Prices</v>
      </c>
      <c r="F1500" s="3">
        <v>5.163167E7</v>
      </c>
    </row>
    <row r="1501" ht="15.75" customHeight="1">
      <c r="A1501" s="1" t="str">
        <f t="array" ref="A1501">INDEX(Reference!$A$2:$A$18, INT((ROW()-2)/(18*3*2)) + 1)</f>
        <v>Nothern Mindanao</v>
      </c>
      <c r="B1501" s="2" t="str">
        <f t="array" ref="B1501">INDEX(Reference!$C$2:$C$19, MOD(ROW()-2, 18) + 1)</f>
        <v>....Construction</v>
      </c>
      <c r="C1501" s="1" t="str">
        <f t="shared" si="1"/>
        <v>Sub</v>
      </c>
      <c r="D1501" s="1">
        <f t="shared" si="2"/>
        <v>2024</v>
      </c>
      <c r="E1501" s="1" t="str">
        <f t="shared" si="3"/>
        <v>At Constant 2018 Prices</v>
      </c>
      <c r="F1501" s="3">
        <v>8.6910267E7</v>
      </c>
    </row>
    <row r="1502" ht="15.75" customHeight="1">
      <c r="A1502" s="1" t="str">
        <f t="array" ref="A1502">INDEX(Reference!$A$2:$A$18, INT((ROW()-2)/(18*3*2)) + 1)</f>
        <v>Nothern Mindanao</v>
      </c>
      <c r="B1502" s="2" t="str">
        <f t="array" ref="B1502">INDEX(Reference!$C$2:$C$19, MOD(ROW()-2, 18) + 1)</f>
        <v>..Services</v>
      </c>
      <c r="C1502" s="1" t="str">
        <f t="shared" si="1"/>
        <v>Main</v>
      </c>
      <c r="D1502" s="1">
        <f t="shared" si="2"/>
        <v>2024</v>
      </c>
      <c r="E1502" s="1" t="str">
        <f t="shared" si="3"/>
        <v>At Constant 2018 Prices</v>
      </c>
      <c r="F1502" s="3">
        <v>5.89761186E8</v>
      </c>
    </row>
    <row r="1503" ht="15.75" customHeight="1">
      <c r="A1503" s="1" t="str">
        <f t="array" ref="A1503">INDEX(Reference!$A$2:$A$18, INT((ROW()-2)/(18*3*2)) + 1)</f>
        <v>Nothern Mindanao</v>
      </c>
      <c r="B1503" s="2" t="str">
        <f t="array" ref="B1503">INDEX(Reference!$C$2:$C$19, MOD(ROW()-2, 18) + 1)</f>
        <v>....Wholesale and retail trade; repair of motor vehicles and motorcycles</v>
      </c>
      <c r="C1503" s="1" t="str">
        <f t="shared" si="1"/>
        <v>Sub</v>
      </c>
      <c r="D1503" s="1">
        <f t="shared" si="2"/>
        <v>2024</v>
      </c>
      <c r="E1503" s="1" t="str">
        <f t="shared" si="3"/>
        <v>At Constant 2018 Prices</v>
      </c>
      <c r="F1503" s="3">
        <v>2.8793988E8</v>
      </c>
    </row>
    <row r="1504" ht="15.75" customHeight="1">
      <c r="A1504" s="1" t="str">
        <f t="array" ref="A1504">INDEX(Reference!$A$2:$A$18, INT((ROW()-2)/(18*3*2)) + 1)</f>
        <v>Nothern Mindanao</v>
      </c>
      <c r="B1504" s="2" t="str">
        <f t="array" ref="B1504">INDEX(Reference!$C$2:$C$19, MOD(ROW()-2, 18) + 1)</f>
        <v>....Transportation and storage</v>
      </c>
      <c r="C1504" s="1" t="str">
        <f t="shared" si="1"/>
        <v>Sub</v>
      </c>
      <c r="D1504" s="1">
        <f t="shared" si="2"/>
        <v>2024</v>
      </c>
      <c r="E1504" s="1" t="str">
        <f t="shared" si="3"/>
        <v>At Constant 2018 Prices</v>
      </c>
      <c r="F1504" s="3">
        <v>3.3204035E7</v>
      </c>
    </row>
    <row r="1505" ht="15.75" customHeight="1">
      <c r="A1505" s="1" t="str">
        <f t="array" ref="A1505">INDEX(Reference!$A$2:$A$18, INT((ROW()-2)/(18*3*2)) + 1)</f>
        <v>Nothern Mindanao</v>
      </c>
      <c r="B1505" s="2" t="str">
        <f t="array" ref="B1505">INDEX(Reference!$C$2:$C$19, MOD(ROW()-2, 18) + 1)</f>
        <v>....Accommodation and food service activities</v>
      </c>
      <c r="C1505" s="1" t="str">
        <f t="shared" si="1"/>
        <v>Sub</v>
      </c>
      <c r="D1505" s="1">
        <f t="shared" si="2"/>
        <v>2024</v>
      </c>
      <c r="E1505" s="1" t="str">
        <f t="shared" si="3"/>
        <v>At Constant 2018 Prices</v>
      </c>
      <c r="F1505" s="3">
        <v>2.5168989E7</v>
      </c>
    </row>
    <row r="1506" ht="15.75" customHeight="1">
      <c r="A1506" s="1" t="str">
        <f t="array" ref="A1506">INDEX(Reference!$A$2:$A$18, INT((ROW()-2)/(18*3*2)) + 1)</f>
        <v>Nothern Mindanao</v>
      </c>
      <c r="B1506" s="2" t="str">
        <f t="array" ref="B1506">INDEX(Reference!$C$2:$C$19, MOD(ROW()-2, 18) + 1)</f>
        <v>....Information and communication</v>
      </c>
      <c r="C1506" s="1" t="str">
        <f t="shared" si="1"/>
        <v>Sub</v>
      </c>
      <c r="D1506" s="1">
        <f t="shared" si="2"/>
        <v>2024</v>
      </c>
      <c r="E1506" s="1" t="str">
        <f t="shared" si="3"/>
        <v>At Constant 2018 Prices</v>
      </c>
      <c r="F1506" s="3">
        <v>2.4954254E7</v>
      </c>
    </row>
    <row r="1507" ht="15.75" customHeight="1">
      <c r="A1507" s="1" t="str">
        <f t="array" ref="A1507">INDEX(Reference!$A$2:$A$18, INT((ROW()-2)/(18*3*2)) + 1)</f>
        <v>Nothern Mindanao</v>
      </c>
      <c r="B1507" s="2" t="str">
        <f t="array" ref="B1507">INDEX(Reference!$C$2:$C$19, MOD(ROW()-2, 18) + 1)</f>
        <v>....Financial and insurance activities</v>
      </c>
      <c r="C1507" s="1" t="str">
        <f t="shared" si="1"/>
        <v>Sub</v>
      </c>
      <c r="D1507" s="1">
        <f t="shared" si="2"/>
        <v>2024</v>
      </c>
      <c r="E1507" s="1" t="str">
        <f t="shared" si="3"/>
        <v>At Constant 2018 Prices</v>
      </c>
      <c r="F1507" s="3">
        <v>4.5949131E7</v>
      </c>
    </row>
    <row r="1508" ht="15.75" customHeight="1">
      <c r="A1508" s="1" t="str">
        <f t="array" ref="A1508">INDEX(Reference!$A$2:$A$18, INT((ROW()-2)/(18*3*2)) + 1)</f>
        <v>Nothern Mindanao</v>
      </c>
      <c r="B1508" s="2" t="str">
        <f t="array" ref="B1508">INDEX(Reference!$C$2:$C$19, MOD(ROW()-2, 18) + 1)</f>
        <v>....Real estate and ownership of dwellings</v>
      </c>
      <c r="C1508" s="1" t="str">
        <f t="shared" si="1"/>
        <v>Sub</v>
      </c>
      <c r="D1508" s="1">
        <f t="shared" si="2"/>
        <v>2024</v>
      </c>
      <c r="E1508" s="1" t="str">
        <f t="shared" si="3"/>
        <v>At Constant 2018 Prices</v>
      </c>
      <c r="F1508" s="3">
        <v>4.2961061E7</v>
      </c>
    </row>
    <row r="1509" ht="15.75" customHeight="1">
      <c r="A1509" s="1" t="str">
        <f t="array" ref="A1509">INDEX(Reference!$A$2:$A$18, INT((ROW()-2)/(18*3*2)) + 1)</f>
        <v>Nothern Mindanao</v>
      </c>
      <c r="B1509" s="2" t="str">
        <f t="array" ref="B1509">INDEX(Reference!$C$2:$C$19, MOD(ROW()-2, 18) + 1)</f>
        <v>....Professional and business services</v>
      </c>
      <c r="C1509" s="1" t="str">
        <f t="shared" si="1"/>
        <v>Sub</v>
      </c>
      <c r="D1509" s="1">
        <f t="shared" si="2"/>
        <v>2024</v>
      </c>
      <c r="E1509" s="1" t="str">
        <f t="shared" si="3"/>
        <v>At Constant 2018 Prices</v>
      </c>
      <c r="F1509" s="3">
        <v>2.2890364E7</v>
      </c>
    </row>
    <row r="1510" ht="15.75" customHeight="1">
      <c r="A1510" s="1" t="str">
        <f t="array" ref="A1510">INDEX(Reference!$A$2:$A$18, INT((ROW()-2)/(18*3*2)) + 1)</f>
        <v>Nothern Mindanao</v>
      </c>
      <c r="B1510" s="2" t="str">
        <f t="array" ref="B1510">INDEX(Reference!$C$2:$C$19, MOD(ROW()-2, 18) + 1)</f>
        <v>....Public administration and defense; compulsory social activities</v>
      </c>
      <c r="C1510" s="1" t="str">
        <f t="shared" si="1"/>
        <v>Sub</v>
      </c>
      <c r="D1510" s="1">
        <f t="shared" si="2"/>
        <v>2024</v>
      </c>
      <c r="E1510" s="1" t="str">
        <f t="shared" si="3"/>
        <v>At Constant 2018 Prices</v>
      </c>
      <c r="F1510" s="3">
        <v>3.7344205E7</v>
      </c>
    </row>
    <row r="1511" ht="15.75" customHeight="1">
      <c r="A1511" s="1" t="str">
        <f t="array" ref="A1511">INDEX(Reference!$A$2:$A$18, INT((ROW()-2)/(18*3*2)) + 1)</f>
        <v>Nothern Mindanao</v>
      </c>
      <c r="B1511" s="2" t="str">
        <f t="array" ref="B1511">INDEX(Reference!$C$2:$C$19, MOD(ROW()-2, 18) + 1)</f>
        <v>....Education</v>
      </c>
      <c r="C1511" s="1" t="str">
        <f t="shared" si="1"/>
        <v>Sub</v>
      </c>
      <c r="D1511" s="1">
        <f t="shared" si="2"/>
        <v>2024</v>
      </c>
      <c r="E1511" s="1" t="str">
        <f t="shared" si="3"/>
        <v>At Constant 2018 Prices</v>
      </c>
      <c r="F1511" s="3">
        <v>4.1516839E7</v>
      </c>
    </row>
    <row r="1512" ht="15.75" customHeight="1">
      <c r="A1512" s="1" t="str">
        <f t="array" ref="A1512">INDEX(Reference!$A$2:$A$18, INT((ROW()-2)/(18*3*2)) + 1)</f>
        <v>Nothern Mindanao</v>
      </c>
      <c r="B1512" s="2" t="str">
        <f t="array" ref="B1512">INDEX(Reference!$C$2:$C$19, MOD(ROW()-2, 18) + 1)</f>
        <v>....Human health and social work activities</v>
      </c>
      <c r="C1512" s="1" t="str">
        <f t="shared" si="1"/>
        <v>Sub</v>
      </c>
      <c r="D1512" s="1">
        <f t="shared" si="2"/>
        <v>2024</v>
      </c>
      <c r="E1512" s="1" t="str">
        <f t="shared" si="3"/>
        <v>At Constant 2018 Prices</v>
      </c>
      <c r="F1512" s="3">
        <v>1.7498378E7</v>
      </c>
    </row>
    <row r="1513" ht="15.75" customHeight="1">
      <c r="A1513" s="1" t="str">
        <f t="array" ref="A1513">INDEX(Reference!$A$2:$A$18, INT((ROW()-2)/(18*3*2)) + 1)</f>
        <v>Nothern Mindanao</v>
      </c>
      <c r="B1513" s="2" t="str">
        <f t="array" ref="B1513">INDEX(Reference!$C$2:$C$19, MOD(ROW()-2, 18) + 1)</f>
        <v>....Other services</v>
      </c>
      <c r="C1513" s="1" t="str">
        <f t="shared" si="1"/>
        <v>Sub</v>
      </c>
      <c r="D1513" s="1">
        <f t="shared" si="2"/>
        <v>2024</v>
      </c>
      <c r="E1513" s="1" t="str">
        <f t="shared" si="3"/>
        <v>At Constant 2018 Prices</v>
      </c>
      <c r="F1513" s="3">
        <v>1.033405E7</v>
      </c>
    </row>
    <row r="1514" ht="15.75" customHeight="1">
      <c r="A1514" s="1" t="str">
        <f t="array" ref="A1514">INDEX(Reference!$A$2:$A$18, INT((ROW()-2)/(18*3*2)) + 1)</f>
        <v>SOCCSKSARGEN</v>
      </c>
      <c r="B1514" s="2" t="str">
        <f t="array" ref="B1514">INDEX(Reference!$C$2:$C$19, MOD(ROW()-2, 18) + 1)</f>
        <v>..Agriculture, forestry, and fishing</v>
      </c>
      <c r="C1514" s="1" t="str">
        <f t="shared" si="1"/>
        <v>Main</v>
      </c>
      <c r="D1514" s="1">
        <f t="shared" si="2"/>
        <v>2022</v>
      </c>
      <c r="E1514" s="1" t="str">
        <f t="shared" si="3"/>
        <v>At Current Prices</v>
      </c>
      <c r="F1514" s="3">
        <v>1.50490553E8</v>
      </c>
    </row>
    <row r="1515" ht="15.75" customHeight="1">
      <c r="A1515" s="1" t="str">
        <f t="array" ref="A1515">INDEX(Reference!$A$2:$A$18, INT((ROW()-2)/(18*3*2)) + 1)</f>
        <v>SOCCSKSARGEN</v>
      </c>
      <c r="B1515" s="2" t="str">
        <f t="array" ref="B1515">INDEX(Reference!$C$2:$C$19, MOD(ROW()-2, 18) + 1)</f>
        <v>..Industry</v>
      </c>
      <c r="C1515" s="1" t="str">
        <f t="shared" si="1"/>
        <v>Main</v>
      </c>
      <c r="D1515" s="1">
        <f t="shared" si="2"/>
        <v>2022</v>
      </c>
      <c r="E1515" s="1" t="str">
        <f t="shared" si="3"/>
        <v>At Current Prices</v>
      </c>
      <c r="F1515" s="3">
        <v>1.34741164E8</v>
      </c>
    </row>
    <row r="1516" ht="15.75" customHeight="1">
      <c r="A1516" s="1" t="str">
        <f t="array" ref="A1516">INDEX(Reference!$A$2:$A$18, INT((ROW()-2)/(18*3*2)) + 1)</f>
        <v>SOCCSKSARGEN</v>
      </c>
      <c r="B1516" s="2" t="str">
        <f t="array" ref="B1516">INDEX(Reference!$C$2:$C$19, MOD(ROW()-2, 18) + 1)</f>
        <v>....Mining and quarrying</v>
      </c>
      <c r="C1516" s="1" t="str">
        <f t="shared" si="1"/>
        <v>Sub</v>
      </c>
      <c r="D1516" s="1">
        <f t="shared" si="2"/>
        <v>2022</v>
      </c>
      <c r="E1516" s="1" t="str">
        <f t="shared" si="3"/>
        <v>At Current Prices</v>
      </c>
      <c r="F1516" s="3">
        <v>993559.0</v>
      </c>
    </row>
    <row r="1517" ht="15.75" customHeight="1">
      <c r="A1517" s="1" t="str">
        <f t="array" ref="A1517">INDEX(Reference!$A$2:$A$18, INT((ROW()-2)/(18*3*2)) + 1)</f>
        <v>SOCCSKSARGEN</v>
      </c>
      <c r="B1517" s="2" t="str">
        <f t="array" ref="B1517">INDEX(Reference!$C$2:$C$19, MOD(ROW()-2, 18) + 1)</f>
        <v>....Manufacturing</v>
      </c>
      <c r="C1517" s="1" t="str">
        <f t="shared" si="1"/>
        <v>Sub</v>
      </c>
      <c r="D1517" s="1">
        <f t="shared" si="2"/>
        <v>2022</v>
      </c>
      <c r="E1517" s="1" t="str">
        <f t="shared" si="3"/>
        <v>At Current Prices</v>
      </c>
      <c r="F1517" s="3">
        <v>7.2863533E7</v>
      </c>
    </row>
    <row r="1518" ht="15.75" customHeight="1">
      <c r="A1518" s="1" t="str">
        <f t="array" ref="A1518">INDEX(Reference!$A$2:$A$18, INT((ROW()-2)/(18*3*2)) + 1)</f>
        <v>SOCCSKSARGEN</v>
      </c>
      <c r="B1518" s="2" t="str">
        <f t="array" ref="B1518">INDEX(Reference!$C$2:$C$19, MOD(ROW()-2, 18) + 1)</f>
        <v>....Electricity, steam, water and waste management</v>
      </c>
      <c r="C1518" s="1" t="str">
        <f t="shared" si="1"/>
        <v>Sub</v>
      </c>
      <c r="D1518" s="1">
        <f t="shared" si="2"/>
        <v>2022</v>
      </c>
      <c r="E1518" s="1" t="str">
        <f t="shared" si="3"/>
        <v>At Current Prices</v>
      </c>
      <c r="F1518" s="3">
        <v>4.1238895E7</v>
      </c>
    </row>
    <row r="1519" ht="15.75" customHeight="1">
      <c r="A1519" s="1" t="str">
        <f t="array" ref="A1519">INDEX(Reference!$A$2:$A$18, INT((ROW()-2)/(18*3*2)) + 1)</f>
        <v>SOCCSKSARGEN</v>
      </c>
      <c r="B1519" s="2" t="str">
        <f t="array" ref="B1519">INDEX(Reference!$C$2:$C$19, MOD(ROW()-2, 18) + 1)</f>
        <v>....Construction</v>
      </c>
      <c r="C1519" s="1" t="str">
        <f t="shared" si="1"/>
        <v>Sub</v>
      </c>
      <c r="D1519" s="1">
        <f t="shared" si="2"/>
        <v>2022</v>
      </c>
      <c r="E1519" s="1" t="str">
        <f t="shared" si="3"/>
        <v>At Current Prices</v>
      </c>
      <c r="F1519" s="3">
        <v>1.9645178E7</v>
      </c>
    </row>
    <row r="1520" ht="15.75" customHeight="1">
      <c r="A1520" s="1" t="str">
        <f t="array" ref="A1520">INDEX(Reference!$A$2:$A$18, INT((ROW()-2)/(18*3*2)) + 1)</f>
        <v>SOCCSKSARGEN</v>
      </c>
      <c r="B1520" s="2" t="str">
        <f t="array" ref="B1520">INDEX(Reference!$C$2:$C$19, MOD(ROW()-2, 18) + 1)</f>
        <v>..Services</v>
      </c>
      <c r="C1520" s="1" t="str">
        <f t="shared" si="1"/>
        <v>Main</v>
      </c>
      <c r="D1520" s="1">
        <f t="shared" si="2"/>
        <v>2022</v>
      </c>
      <c r="E1520" s="1" t="str">
        <f t="shared" si="3"/>
        <v>At Current Prices</v>
      </c>
      <c r="F1520" s="3">
        <v>2.79068637E8</v>
      </c>
    </row>
    <row r="1521" ht="15.75" customHeight="1">
      <c r="A1521" s="1" t="str">
        <f t="array" ref="A1521">INDEX(Reference!$A$2:$A$18, INT((ROW()-2)/(18*3*2)) + 1)</f>
        <v>SOCCSKSARGEN</v>
      </c>
      <c r="B1521" s="2" t="str">
        <f t="array" ref="B1521">INDEX(Reference!$C$2:$C$19, MOD(ROW()-2, 18) + 1)</f>
        <v>....Wholesale and retail trade; repair of motor vehicles and motorcycles</v>
      </c>
      <c r="C1521" s="1" t="str">
        <f t="shared" si="1"/>
        <v>Sub</v>
      </c>
      <c r="D1521" s="1">
        <f t="shared" si="2"/>
        <v>2022</v>
      </c>
      <c r="E1521" s="1" t="str">
        <f t="shared" si="3"/>
        <v>At Current Prices</v>
      </c>
      <c r="F1521" s="3">
        <v>7.7849193E7</v>
      </c>
    </row>
    <row r="1522" ht="15.75" customHeight="1">
      <c r="A1522" s="1" t="str">
        <f t="array" ref="A1522">INDEX(Reference!$A$2:$A$18, INT((ROW()-2)/(18*3*2)) + 1)</f>
        <v>SOCCSKSARGEN</v>
      </c>
      <c r="B1522" s="2" t="str">
        <f t="array" ref="B1522">INDEX(Reference!$C$2:$C$19, MOD(ROW()-2, 18) + 1)</f>
        <v>....Transportation and storage</v>
      </c>
      <c r="C1522" s="1" t="str">
        <f t="shared" si="1"/>
        <v>Sub</v>
      </c>
      <c r="D1522" s="1">
        <f t="shared" si="2"/>
        <v>2022</v>
      </c>
      <c r="E1522" s="1" t="str">
        <f t="shared" si="3"/>
        <v>At Current Prices</v>
      </c>
      <c r="F1522" s="3">
        <v>2.1741805E7</v>
      </c>
    </row>
    <row r="1523" ht="15.75" customHeight="1">
      <c r="A1523" s="1" t="str">
        <f t="array" ref="A1523">INDEX(Reference!$A$2:$A$18, INT((ROW()-2)/(18*3*2)) + 1)</f>
        <v>SOCCSKSARGEN</v>
      </c>
      <c r="B1523" s="2" t="str">
        <f t="array" ref="B1523">INDEX(Reference!$C$2:$C$19, MOD(ROW()-2, 18) + 1)</f>
        <v>....Accommodation and food service activities</v>
      </c>
      <c r="C1523" s="1" t="str">
        <f t="shared" si="1"/>
        <v>Sub</v>
      </c>
      <c r="D1523" s="1">
        <f t="shared" si="2"/>
        <v>2022</v>
      </c>
      <c r="E1523" s="1" t="str">
        <f t="shared" si="3"/>
        <v>At Current Prices</v>
      </c>
      <c r="F1523" s="3">
        <v>1.4279705E7</v>
      </c>
    </row>
    <row r="1524" ht="15.75" customHeight="1">
      <c r="A1524" s="1" t="str">
        <f t="array" ref="A1524">INDEX(Reference!$A$2:$A$18, INT((ROW()-2)/(18*3*2)) + 1)</f>
        <v>SOCCSKSARGEN</v>
      </c>
      <c r="B1524" s="2" t="str">
        <f t="array" ref="B1524">INDEX(Reference!$C$2:$C$19, MOD(ROW()-2, 18) + 1)</f>
        <v>....Information and communication</v>
      </c>
      <c r="C1524" s="1" t="str">
        <f t="shared" si="1"/>
        <v>Sub</v>
      </c>
      <c r="D1524" s="1">
        <f t="shared" si="2"/>
        <v>2022</v>
      </c>
      <c r="E1524" s="1" t="str">
        <f t="shared" si="3"/>
        <v>At Current Prices</v>
      </c>
      <c r="F1524" s="3">
        <v>1.6572596E7</v>
      </c>
    </row>
    <row r="1525" ht="15.75" customHeight="1">
      <c r="A1525" s="1" t="str">
        <f t="array" ref="A1525">INDEX(Reference!$A$2:$A$18, INT((ROW()-2)/(18*3*2)) + 1)</f>
        <v>SOCCSKSARGEN</v>
      </c>
      <c r="B1525" s="2" t="str">
        <f t="array" ref="B1525">INDEX(Reference!$C$2:$C$19, MOD(ROW()-2, 18) + 1)</f>
        <v>....Financial and insurance activities</v>
      </c>
      <c r="C1525" s="1" t="str">
        <f t="shared" si="1"/>
        <v>Sub</v>
      </c>
      <c r="D1525" s="1">
        <f t="shared" si="2"/>
        <v>2022</v>
      </c>
      <c r="E1525" s="1" t="str">
        <f t="shared" si="3"/>
        <v>At Current Prices</v>
      </c>
      <c r="F1525" s="3">
        <v>4.3875986E7</v>
      </c>
    </row>
    <row r="1526" ht="15.75" customHeight="1">
      <c r="A1526" s="1" t="str">
        <f t="array" ref="A1526">INDEX(Reference!$A$2:$A$18, INT((ROW()-2)/(18*3*2)) + 1)</f>
        <v>SOCCSKSARGEN</v>
      </c>
      <c r="B1526" s="2" t="str">
        <f t="array" ref="B1526">INDEX(Reference!$C$2:$C$19, MOD(ROW()-2, 18) + 1)</f>
        <v>....Real estate and ownership of dwellings</v>
      </c>
      <c r="C1526" s="1" t="str">
        <f t="shared" si="1"/>
        <v>Sub</v>
      </c>
      <c r="D1526" s="1">
        <f t="shared" si="2"/>
        <v>2022</v>
      </c>
      <c r="E1526" s="1" t="str">
        <f t="shared" si="3"/>
        <v>At Current Prices</v>
      </c>
      <c r="F1526" s="3">
        <v>1.9666074E7</v>
      </c>
    </row>
    <row r="1527" ht="15.75" customHeight="1">
      <c r="A1527" s="1" t="str">
        <f t="array" ref="A1527">INDEX(Reference!$A$2:$A$18, INT((ROW()-2)/(18*3*2)) + 1)</f>
        <v>SOCCSKSARGEN</v>
      </c>
      <c r="B1527" s="2" t="str">
        <f t="array" ref="B1527">INDEX(Reference!$C$2:$C$19, MOD(ROW()-2, 18) + 1)</f>
        <v>....Professional and business services</v>
      </c>
      <c r="C1527" s="1" t="str">
        <f t="shared" si="1"/>
        <v>Sub</v>
      </c>
      <c r="D1527" s="1">
        <f t="shared" si="2"/>
        <v>2022</v>
      </c>
      <c r="E1527" s="1" t="str">
        <f t="shared" si="3"/>
        <v>At Current Prices</v>
      </c>
      <c r="F1527" s="3">
        <v>1.2567065E7</v>
      </c>
    </row>
    <row r="1528" ht="15.75" customHeight="1">
      <c r="A1528" s="1" t="str">
        <f t="array" ref="A1528">INDEX(Reference!$A$2:$A$18, INT((ROW()-2)/(18*3*2)) + 1)</f>
        <v>SOCCSKSARGEN</v>
      </c>
      <c r="B1528" s="2" t="str">
        <f t="array" ref="B1528">INDEX(Reference!$C$2:$C$19, MOD(ROW()-2, 18) + 1)</f>
        <v>....Public administration and defense; compulsory social activities</v>
      </c>
      <c r="C1528" s="1" t="str">
        <f t="shared" si="1"/>
        <v>Sub</v>
      </c>
      <c r="D1528" s="1">
        <f t="shared" si="2"/>
        <v>2022</v>
      </c>
      <c r="E1528" s="1" t="str">
        <f t="shared" si="3"/>
        <v>At Current Prices</v>
      </c>
      <c r="F1528" s="3">
        <v>2.5317972E7</v>
      </c>
    </row>
    <row r="1529" ht="15.75" customHeight="1">
      <c r="A1529" s="1" t="str">
        <f t="array" ref="A1529">INDEX(Reference!$A$2:$A$18, INT((ROW()-2)/(18*3*2)) + 1)</f>
        <v>SOCCSKSARGEN</v>
      </c>
      <c r="B1529" s="2" t="str">
        <f t="array" ref="B1529">INDEX(Reference!$C$2:$C$19, MOD(ROW()-2, 18) + 1)</f>
        <v>....Education</v>
      </c>
      <c r="C1529" s="1" t="str">
        <f t="shared" si="1"/>
        <v>Sub</v>
      </c>
      <c r="D1529" s="1">
        <f t="shared" si="2"/>
        <v>2022</v>
      </c>
      <c r="E1529" s="1" t="str">
        <f t="shared" si="3"/>
        <v>At Current Prices</v>
      </c>
      <c r="F1529" s="3">
        <v>3.291563E7</v>
      </c>
    </row>
    <row r="1530" ht="15.75" customHeight="1">
      <c r="A1530" s="1" t="str">
        <f t="array" ref="A1530">INDEX(Reference!$A$2:$A$18, INT((ROW()-2)/(18*3*2)) + 1)</f>
        <v>SOCCSKSARGEN</v>
      </c>
      <c r="B1530" s="2" t="str">
        <f t="array" ref="B1530">INDEX(Reference!$C$2:$C$19, MOD(ROW()-2, 18) + 1)</f>
        <v>....Human health and social work activities</v>
      </c>
      <c r="C1530" s="1" t="str">
        <f t="shared" si="1"/>
        <v>Sub</v>
      </c>
      <c r="D1530" s="1">
        <f t="shared" si="2"/>
        <v>2022</v>
      </c>
      <c r="E1530" s="1" t="str">
        <f t="shared" si="3"/>
        <v>At Current Prices</v>
      </c>
      <c r="F1530" s="3">
        <v>1.033032E7</v>
      </c>
    </row>
    <row r="1531" ht="15.75" customHeight="1">
      <c r="A1531" s="1" t="str">
        <f t="array" ref="A1531">INDEX(Reference!$A$2:$A$18, INT((ROW()-2)/(18*3*2)) + 1)</f>
        <v>SOCCSKSARGEN</v>
      </c>
      <c r="B1531" s="2" t="str">
        <f t="array" ref="B1531">INDEX(Reference!$C$2:$C$19, MOD(ROW()-2, 18) + 1)</f>
        <v>....Other services</v>
      </c>
      <c r="C1531" s="1" t="str">
        <f t="shared" si="1"/>
        <v>Sub</v>
      </c>
      <c r="D1531" s="1">
        <f t="shared" si="2"/>
        <v>2022</v>
      </c>
      <c r="E1531" s="1" t="str">
        <f t="shared" si="3"/>
        <v>At Current Prices</v>
      </c>
      <c r="F1531" s="3">
        <v>3952292.0</v>
      </c>
    </row>
    <row r="1532" ht="15.75" customHeight="1">
      <c r="A1532" s="1" t="str">
        <f t="array" ref="A1532">INDEX(Reference!$A$2:$A$18, INT((ROW()-2)/(18*3*2)) + 1)</f>
        <v>SOCCSKSARGEN</v>
      </c>
      <c r="B1532" s="2" t="str">
        <f t="array" ref="B1532">INDEX(Reference!$C$2:$C$19, MOD(ROW()-2, 18) + 1)</f>
        <v>..Agriculture, forestry, and fishing</v>
      </c>
      <c r="C1532" s="1" t="str">
        <f t="shared" si="1"/>
        <v>Main</v>
      </c>
      <c r="D1532" s="1">
        <f t="shared" si="2"/>
        <v>2023</v>
      </c>
      <c r="E1532" s="1" t="str">
        <f t="shared" si="3"/>
        <v>At Current Prices</v>
      </c>
      <c r="F1532" s="3">
        <v>1.64715056E8</v>
      </c>
    </row>
    <row r="1533" ht="15.75" customHeight="1">
      <c r="A1533" s="1" t="str">
        <f t="array" ref="A1533">INDEX(Reference!$A$2:$A$18, INT((ROW()-2)/(18*3*2)) + 1)</f>
        <v>SOCCSKSARGEN</v>
      </c>
      <c r="B1533" s="2" t="str">
        <f t="array" ref="B1533">INDEX(Reference!$C$2:$C$19, MOD(ROW()-2, 18) + 1)</f>
        <v>..Industry</v>
      </c>
      <c r="C1533" s="1" t="str">
        <f t="shared" si="1"/>
        <v>Main</v>
      </c>
      <c r="D1533" s="1">
        <f t="shared" si="2"/>
        <v>2023</v>
      </c>
      <c r="E1533" s="1" t="str">
        <f t="shared" si="3"/>
        <v>At Current Prices</v>
      </c>
      <c r="F1533" s="3">
        <v>1.43309002E8</v>
      </c>
    </row>
    <row r="1534" ht="15.75" customHeight="1">
      <c r="A1534" s="1" t="str">
        <f t="array" ref="A1534">INDEX(Reference!$A$2:$A$18, INT((ROW()-2)/(18*3*2)) + 1)</f>
        <v>SOCCSKSARGEN</v>
      </c>
      <c r="B1534" s="2" t="str">
        <f t="array" ref="B1534">INDEX(Reference!$C$2:$C$19, MOD(ROW()-2, 18) + 1)</f>
        <v>....Mining and quarrying</v>
      </c>
      <c r="C1534" s="1" t="str">
        <f t="shared" si="1"/>
        <v>Sub</v>
      </c>
      <c r="D1534" s="1">
        <f t="shared" si="2"/>
        <v>2023</v>
      </c>
      <c r="E1534" s="1" t="str">
        <f t="shared" si="3"/>
        <v>At Current Prices</v>
      </c>
      <c r="F1534" s="3">
        <v>1047041.0</v>
      </c>
    </row>
    <row r="1535" ht="15.75" customHeight="1">
      <c r="A1535" s="1" t="str">
        <f t="array" ref="A1535">INDEX(Reference!$A$2:$A$18, INT((ROW()-2)/(18*3*2)) + 1)</f>
        <v>SOCCSKSARGEN</v>
      </c>
      <c r="B1535" s="2" t="str">
        <f t="array" ref="B1535">INDEX(Reference!$C$2:$C$19, MOD(ROW()-2, 18) + 1)</f>
        <v>....Manufacturing</v>
      </c>
      <c r="C1535" s="1" t="str">
        <f t="shared" si="1"/>
        <v>Sub</v>
      </c>
      <c r="D1535" s="1">
        <f t="shared" si="2"/>
        <v>2023</v>
      </c>
      <c r="E1535" s="1" t="str">
        <f t="shared" si="3"/>
        <v>At Current Prices</v>
      </c>
      <c r="F1535" s="3">
        <v>7.1387048E7</v>
      </c>
    </row>
    <row r="1536" ht="15.75" customHeight="1">
      <c r="A1536" s="1" t="str">
        <f t="array" ref="A1536">INDEX(Reference!$A$2:$A$18, INT((ROW()-2)/(18*3*2)) + 1)</f>
        <v>SOCCSKSARGEN</v>
      </c>
      <c r="B1536" s="2" t="str">
        <f t="array" ref="B1536">INDEX(Reference!$C$2:$C$19, MOD(ROW()-2, 18) + 1)</f>
        <v>....Electricity, steam, water and waste management</v>
      </c>
      <c r="C1536" s="1" t="str">
        <f t="shared" si="1"/>
        <v>Sub</v>
      </c>
      <c r="D1536" s="1">
        <f t="shared" si="2"/>
        <v>2023</v>
      </c>
      <c r="E1536" s="1" t="str">
        <f t="shared" si="3"/>
        <v>At Current Prices</v>
      </c>
      <c r="F1536" s="3">
        <v>4.7238851E7</v>
      </c>
    </row>
    <row r="1537" ht="15.75" customHeight="1">
      <c r="A1537" s="1" t="str">
        <f t="array" ref="A1537">INDEX(Reference!$A$2:$A$18, INT((ROW()-2)/(18*3*2)) + 1)</f>
        <v>SOCCSKSARGEN</v>
      </c>
      <c r="B1537" s="2" t="str">
        <f t="array" ref="B1537">INDEX(Reference!$C$2:$C$19, MOD(ROW()-2, 18) + 1)</f>
        <v>....Construction</v>
      </c>
      <c r="C1537" s="1" t="str">
        <f t="shared" si="1"/>
        <v>Sub</v>
      </c>
      <c r="D1537" s="1">
        <f t="shared" si="2"/>
        <v>2023</v>
      </c>
      <c r="E1537" s="1" t="str">
        <f t="shared" si="3"/>
        <v>At Current Prices</v>
      </c>
      <c r="F1537" s="3">
        <v>2.3636061E7</v>
      </c>
    </row>
    <row r="1538" ht="15.75" customHeight="1">
      <c r="A1538" s="1" t="str">
        <f t="array" ref="A1538">INDEX(Reference!$A$2:$A$18, INT((ROW()-2)/(18*3*2)) + 1)</f>
        <v>SOCCSKSARGEN</v>
      </c>
      <c r="B1538" s="2" t="str">
        <f t="array" ref="B1538">INDEX(Reference!$C$2:$C$19, MOD(ROW()-2, 18) + 1)</f>
        <v>..Services</v>
      </c>
      <c r="C1538" s="1" t="str">
        <f t="shared" si="1"/>
        <v>Main</v>
      </c>
      <c r="D1538" s="1">
        <f t="shared" si="2"/>
        <v>2023</v>
      </c>
      <c r="E1538" s="1" t="str">
        <f t="shared" si="3"/>
        <v>At Current Prices</v>
      </c>
      <c r="F1538" s="3">
        <v>3.15470492E8</v>
      </c>
    </row>
    <row r="1539" ht="15.75" customHeight="1">
      <c r="A1539" s="1" t="str">
        <f t="array" ref="A1539">INDEX(Reference!$A$2:$A$18, INT((ROW()-2)/(18*3*2)) + 1)</f>
        <v>SOCCSKSARGEN</v>
      </c>
      <c r="B1539" s="2" t="str">
        <f t="array" ref="B1539">INDEX(Reference!$C$2:$C$19, MOD(ROW()-2, 18) + 1)</f>
        <v>....Wholesale and retail trade; repair of motor vehicles and motorcycles</v>
      </c>
      <c r="C1539" s="1" t="str">
        <f t="shared" si="1"/>
        <v>Sub</v>
      </c>
      <c r="D1539" s="1">
        <f t="shared" si="2"/>
        <v>2023</v>
      </c>
      <c r="E1539" s="1" t="str">
        <f t="shared" si="3"/>
        <v>At Current Prices</v>
      </c>
      <c r="F1539" s="3">
        <v>8.6705112E7</v>
      </c>
    </row>
    <row r="1540" ht="15.75" customHeight="1">
      <c r="A1540" s="1" t="str">
        <f t="array" ref="A1540">INDEX(Reference!$A$2:$A$18, INT((ROW()-2)/(18*3*2)) + 1)</f>
        <v>SOCCSKSARGEN</v>
      </c>
      <c r="B1540" s="2" t="str">
        <f t="array" ref="B1540">INDEX(Reference!$C$2:$C$19, MOD(ROW()-2, 18) + 1)</f>
        <v>....Transportation and storage</v>
      </c>
      <c r="C1540" s="1" t="str">
        <f t="shared" si="1"/>
        <v>Sub</v>
      </c>
      <c r="D1540" s="1">
        <f t="shared" si="2"/>
        <v>2023</v>
      </c>
      <c r="E1540" s="1" t="str">
        <f t="shared" si="3"/>
        <v>At Current Prices</v>
      </c>
      <c r="F1540" s="3">
        <v>2.5931674E7</v>
      </c>
    </row>
    <row r="1541" ht="15.75" customHeight="1">
      <c r="A1541" s="1" t="str">
        <f t="array" ref="A1541">INDEX(Reference!$A$2:$A$18, INT((ROW()-2)/(18*3*2)) + 1)</f>
        <v>SOCCSKSARGEN</v>
      </c>
      <c r="B1541" s="2" t="str">
        <f t="array" ref="B1541">INDEX(Reference!$C$2:$C$19, MOD(ROW()-2, 18) + 1)</f>
        <v>....Accommodation and food service activities</v>
      </c>
      <c r="C1541" s="1" t="str">
        <f t="shared" si="1"/>
        <v>Sub</v>
      </c>
      <c r="D1541" s="1">
        <f t="shared" si="2"/>
        <v>2023</v>
      </c>
      <c r="E1541" s="1" t="str">
        <f t="shared" si="3"/>
        <v>At Current Prices</v>
      </c>
      <c r="F1541" s="3">
        <v>1.7350622E7</v>
      </c>
    </row>
    <row r="1542" ht="15.75" customHeight="1">
      <c r="A1542" s="1" t="str">
        <f t="array" ref="A1542">INDEX(Reference!$A$2:$A$18, INT((ROW()-2)/(18*3*2)) + 1)</f>
        <v>SOCCSKSARGEN</v>
      </c>
      <c r="B1542" s="2" t="str">
        <f t="array" ref="B1542">INDEX(Reference!$C$2:$C$19, MOD(ROW()-2, 18) + 1)</f>
        <v>....Information and communication</v>
      </c>
      <c r="C1542" s="1" t="str">
        <f t="shared" si="1"/>
        <v>Sub</v>
      </c>
      <c r="D1542" s="1">
        <f t="shared" si="2"/>
        <v>2023</v>
      </c>
      <c r="E1542" s="1" t="str">
        <f t="shared" si="3"/>
        <v>At Current Prices</v>
      </c>
      <c r="F1542" s="3">
        <v>1.7756439E7</v>
      </c>
    </row>
    <row r="1543" ht="15.75" customHeight="1">
      <c r="A1543" s="1" t="str">
        <f t="array" ref="A1543">INDEX(Reference!$A$2:$A$18, INT((ROW()-2)/(18*3*2)) + 1)</f>
        <v>SOCCSKSARGEN</v>
      </c>
      <c r="B1543" s="2" t="str">
        <f t="array" ref="B1543">INDEX(Reference!$C$2:$C$19, MOD(ROW()-2, 18) + 1)</f>
        <v>....Financial and insurance activities</v>
      </c>
      <c r="C1543" s="1" t="str">
        <f t="shared" si="1"/>
        <v>Sub</v>
      </c>
      <c r="D1543" s="1">
        <f t="shared" si="2"/>
        <v>2023</v>
      </c>
      <c r="E1543" s="1" t="str">
        <f t="shared" si="3"/>
        <v>At Current Prices</v>
      </c>
      <c r="F1543" s="3">
        <v>5.126439E7</v>
      </c>
    </row>
    <row r="1544" ht="15.75" customHeight="1">
      <c r="A1544" s="1" t="str">
        <f t="array" ref="A1544">INDEX(Reference!$A$2:$A$18, INT((ROW()-2)/(18*3*2)) + 1)</f>
        <v>SOCCSKSARGEN</v>
      </c>
      <c r="B1544" s="2" t="str">
        <f t="array" ref="B1544">INDEX(Reference!$C$2:$C$19, MOD(ROW()-2, 18) + 1)</f>
        <v>....Real estate and ownership of dwellings</v>
      </c>
      <c r="C1544" s="1" t="str">
        <f t="shared" si="1"/>
        <v>Sub</v>
      </c>
      <c r="D1544" s="1">
        <f t="shared" si="2"/>
        <v>2023</v>
      </c>
      <c r="E1544" s="1" t="str">
        <f t="shared" si="3"/>
        <v>At Current Prices</v>
      </c>
      <c r="F1544" s="3">
        <v>2.1723771E7</v>
      </c>
    </row>
    <row r="1545" ht="15.75" customHeight="1">
      <c r="A1545" s="1" t="str">
        <f t="array" ref="A1545">INDEX(Reference!$A$2:$A$18, INT((ROW()-2)/(18*3*2)) + 1)</f>
        <v>SOCCSKSARGEN</v>
      </c>
      <c r="B1545" s="2" t="str">
        <f t="array" ref="B1545">INDEX(Reference!$C$2:$C$19, MOD(ROW()-2, 18) + 1)</f>
        <v>....Professional and business services</v>
      </c>
      <c r="C1545" s="1" t="str">
        <f t="shared" si="1"/>
        <v>Sub</v>
      </c>
      <c r="D1545" s="1">
        <f t="shared" si="2"/>
        <v>2023</v>
      </c>
      <c r="E1545" s="1" t="str">
        <f t="shared" si="3"/>
        <v>At Current Prices</v>
      </c>
      <c r="F1545" s="3">
        <v>1.3908002E7</v>
      </c>
    </row>
    <row r="1546" ht="15.75" customHeight="1">
      <c r="A1546" s="1" t="str">
        <f t="array" ref="A1546">INDEX(Reference!$A$2:$A$18, INT((ROW()-2)/(18*3*2)) + 1)</f>
        <v>SOCCSKSARGEN</v>
      </c>
      <c r="B1546" s="2" t="str">
        <f t="array" ref="B1546">INDEX(Reference!$C$2:$C$19, MOD(ROW()-2, 18) + 1)</f>
        <v>....Public administration and defense; compulsory social activities</v>
      </c>
      <c r="C1546" s="1" t="str">
        <f t="shared" si="1"/>
        <v>Sub</v>
      </c>
      <c r="D1546" s="1">
        <f t="shared" si="2"/>
        <v>2023</v>
      </c>
      <c r="E1546" s="1" t="str">
        <f t="shared" si="3"/>
        <v>At Current Prices</v>
      </c>
      <c r="F1546" s="3">
        <v>2.7992186E7</v>
      </c>
    </row>
    <row r="1547" ht="15.75" customHeight="1">
      <c r="A1547" s="1" t="str">
        <f t="array" ref="A1547">INDEX(Reference!$A$2:$A$18, INT((ROW()-2)/(18*3*2)) + 1)</f>
        <v>SOCCSKSARGEN</v>
      </c>
      <c r="B1547" s="2" t="str">
        <f t="array" ref="B1547">INDEX(Reference!$C$2:$C$19, MOD(ROW()-2, 18) + 1)</f>
        <v>....Education</v>
      </c>
      <c r="C1547" s="1" t="str">
        <f t="shared" si="1"/>
        <v>Sub</v>
      </c>
      <c r="D1547" s="1">
        <f t="shared" si="2"/>
        <v>2023</v>
      </c>
      <c r="E1547" s="1" t="str">
        <f t="shared" si="3"/>
        <v>At Current Prices</v>
      </c>
      <c r="F1547" s="3">
        <v>3.6376344E7</v>
      </c>
    </row>
    <row r="1548" ht="15.75" customHeight="1">
      <c r="A1548" s="1" t="str">
        <f t="array" ref="A1548">INDEX(Reference!$A$2:$A$18, INT((ROW()-2)/(18*3*2)) + 1)</f>
        <v>SOCCSKSARGEN</v>
      </c>
      <c r="B1548" s="2" t="str">
        <f t="array" ref="B1548">INDEX(Reference!$C$2:$C$19, MOD(ROW()-2, 18) + 1)</f>
        <v>....Human health and social work activities</v>
      </c>
      <c r="C1548" s="1" t="str">
        <f t="shared" si="1"/>
        <v>Sub</v>
      </c>
      <c r="D1548" s="1">
        <f t="shared" si="2"/>
        <v>2023</v>
      </c>
      <c r="E1548" s="1" t="str">
        <f t="shared" si="3"/>
        <v>At Current Prices</v>
      </c>
      <c r="F1548" s="3">
        <v>1.1824976E7</v>
      </c>
    </row>
    <row r="1549" ht="15.75" customHeight="1">
      <c r="A1549" s="1" t="str">
        <f t="array" ref="A1549">INDEX(Reference!$A$2:$A$18, INT((ROW()-2)/(18*3*2)) + 1)</f>
        <v>SOCCSKSARGEN</v>
      </c>
      <c r="B1549" s="2" t="str">
        <f t="array" ref="B1549">INDEX(Reference!$C$2:$C$19, MOD(ROW()-2, 18) + 1)</f>
        <v>....Other services</v>
      </c>
      <c r="C1549" s="1" t="str">
        <f t="shared" si="1"/>
        <v>Sub</v>
      </c>
      <c r="D1549" s="1">
        <f t="shared" si="2"/>
        <v>2023</v>
      </c>
      <c r="E1549" s="1" t="str">
        <f t="shared" si="3"/>
        <v>At Current Prices</v>
      </c>
      <c r="F1549" s="3">
        <v>4636976.0</v>
      </c>
    </row>
    <row r="1550" ht="15.75" customHeight="1">
      <c r="A1550" s="1" t="str">
        <f t="array" ref="A1550">INDEX(Reference!$A$2:$A$18, INT((ROW()-2)/(18*3*2)) + 1)</f>
        <v>SOCCSKSARGEN</v>
      </c>
      <c r="B1550" s="2" t="str">
        <f t="array" ref="B1550">INDEX(Reference!$C$2:$C$19, MOD(ROW()-2, 18) + 1)</f>
        <v>..Agriculture, forestry, and fishing</v>
      </c>
      <c r="C1550" s="1" t="str">
        <f t="shared" si="1"/>
        <v>Main</v>
      </c>
      <c r="D1550" s="1">
        <f t="shared" si="2"/>
        <v>2024</v>
      </c>
      <c r="E1550" s="1" t="str">
        <f t="shared" si="3"/>
        <v>At Current Prices</v>
      </c>
      <c r="F1550" s="3">
        <v>1.72077472E8</v>
      </c>
    </row>
    <row r="1551" ht="15.75" customHeight="1">
      <c r="A1551" s="1" t="str">
        <f t="array" ref="A1551">INDEX(Reference!$A$2:$A$18, INT((ROW()-2)/(18*3*2)) + 1)</f>
        <v>SOCCSKSARGEN</v>
      </c>
      <c r="B1551" s="2" t="str">
        <f t="array" ref="B1551">INDEX(Reference!$C$2:$C$19, MOD(ROW()-2, 18) + 1)</f>
        <v>..Industry</v>
      </c>
      <c r="C1551" s="1" t="str">
        <f t="shared" si="1"/>
        <v>Main</v>
      </c>
      <c r="D1551" s="1">
        <f t="shared" si="2"/>
        <v>2024</v>
      </c>
      <c r="E1551" s="1" t="str">
        <f t="shared" si="3"/>
        <v>At Current Prices</v>
      </c>
      <c r="F1551" s="3">
        <v>1.54806401E8</v>
      </c>
    </row>
    <row r="1552" ht="15.75" customHeight="1">
      <c r="A1552" s="1" t="str">
        <f t="array" ref="A1552">INDEX(Reference!$A$2:$A$18, INT((ROW()-2)/(18*3*2)) + 1)</f>
        <v>SOCCSKSARGEN</v>
      </c>
      <c r="B1552" s="2" t="str">
        <f t="array" ref="B1552">INDEX(Reference!$C$2:$C$19, MOD(ROW()-2, 18) + 1)</f>
        <v>....Mining and quarrying</v>
      </c>
      <c r="C1552" s="1" t="str">
        <f t="shared" si="1"/>
        <v>Sub</v>
      </c>
      <c r="D1552" s="1">
        <f t="shared" si="2"/>
        <v>2024</v>
      </c>
      <c r="E1552" s="1" t="str">
        <f t="shared" si="3"/>
        <v>At Current Prices</v>
      </c>
      <c r="F1552" s="3">
        <v>3448036.0</v>
      </c>
    </row>
    <row r="1553" ht="15.75" customHeight="1">
      <c r="A1553" s="1" t="str">
        <f t="array" ref="A1553">INDEX(Reference!$A$2:$A$18, INT((ROW()-2)/(18*3*2)) + 1)</f>
        <v>SOCCSKSARGEN</v>
      </c>
      <c r="B1553" s="2" t="str">
        <f t="array" ref="B1553">INDEX(Reference!$C$2:$C$19, MOD(ROW()-2, 18) + 1)</f>
        <v>....Manufacturing</v>
      </c>
      <c r="C1553" s="1" t="str">
        <f t="shared" si="1"/>
        <v>Sub</v>
      </c>
      <c r="D1553" s="1">
        <f t="shared" si="2"/>
        <v>2024</v>
      </c>
      <c r="E1553" s="1" t="str">
        <f t="shared" si="3"/>
        <v>At Current Prices</v>
      </c>
      <c r="F1553" s="3">
        <v>7.3570883E7</v>
      </c>
    </row>
    <row r="1554" ht="15.75" customHeight="1">
      <c r="A1554" s="1" t="str">
        <f t="array" ref="A1554">INDEX(Reference!$A$2:$A$18, INT((ROW()-2)/(18*3*2)) + 1)</f>
        <v>SOCCSKSARGEN</v>
      </c>
      <c r="B1554" s="2" t="str">
        <f t="array" ref="B1554">INDEX(Reference!$C$2:$C$19, MOD(ROW()-2, 18) + 1)</f>
        <v>....Electricity, steam, water and waste management</v>
      </c>
      <c r="C1554" s="1" t="str">
        <f t="shared" si="1"/>
        <v>Sub</v>
      </c>
      <c r="D1554" s="1">
        <f t="shared" si="2"/>
        <v>2024</v>
      </c>
      <c r="E1554" s="1" t="str">
        <f t="shared" si="3"/>
        <v>At Current Prices</v>
      </c>
      <c r="F1554" s="3">
        <v>5.1250039E7</v>
      </c>
    </row>
    <row r="1555" ht="15.75" customHeight="1">
      <c r="A1555" s="1" t="str">
        <f t="array" ref="A1555">INDEX(Reference!$A$2:$A$18, INT((ROW()-2)/(18*3*2)) + 1)</f>
        <v>SOCCSKSARGEN</v>
      </c>
      <c r="B1555" s="2" t="str">
        <f t="array" ref="B1555">INDEX(Reference!$C$2:$C$19, MOD(ROW()-2, 18) + 1)</f>
        <v>....Construction</v>
      </c>
      <c r="C1555" s="1" t="str">
        <f t="shared" si="1"/>
        <v>Sub</v>
      </c>
      <c r="D1555" s="1">
        <f t="shared" si="2"/>
        <v>2024</v>
      </c>
      <c r="E1555" s="1" t="str">
        <f t="shared" si="3"/>
        <v>At Current Prices</v>
      </c>
      <c r="F1555" s="3">
        <v>2.6537443E7</v>
      </c>
    </row>
    <row r="1556" ht="15.75" customHeight="1">
      <c r="A1556" s="1" t="str">
        <f t="array" ref="A1556">INDEX(Reference!$A$2:$A$18, INT((ROW()-2)/(18*3*2)) + 1)</f>
        <v>SOCCSKSARGEN</v>
      </c>
      <c r="B1556" s="2" t="str">
        <f t="array" ref="B1556">INDEX(Reference!$C$2:$C$19, MOD(ROW()-2, 18) + 1)</f>
        <v>..Services</v>
      </c>
      <c r="C1556" s="1" t="str">
        <f t="shared" si="1"/>
        <v>Main</v>
      </c>
      <c r="D1556" s="1">
        <f t="shared" si="2"/>
        <v>2024</v>
      </c>
      <c r="E1556" s="1" t="str">
        <f t="shared" si="3"/>
        <v>At Current Prices</v>
      </c>
      <c r="F1556" s="3">
        <v>3.4873401E8</v>
      </c>
    </row>
    <row r="1557" ht="15.75" customHeight="1">
      <c r="A1557" s="1" t="str">
        <f t="array" ref="A1557">INDEX(Reference!$A$2:$A$18, INT((ROW()-2)/(18*3*2)) + 1)</f>
        <v>SOCCSKSARGEN</v>
      </c>
      <c r="B1557" s="2" t="str">
        <f t="array" ref="B1557">INDEX(Reference!$C$2:$C$19, MOD(ROW()-2, 18) + 1)</f>
        <v>....Wholesale and retail trade; repair of motor vehicles and motorcycles</v>
      </c>
      <c r="C1557" s="1" t="str">
        <f t="shared" si="1"/>
        <v>Sub</v>
      </c>
      <c r="D1557" s="1">
        <f t="shared" si="2"/>
        <v>2024</v>
      </c>
      <c r="E1557" s="1" t="str">
        <f t="shared" si="3"/>
        <v>At Current Prices</v>
      </c>
      <c r="F1557" s="3">
        <v>9.57527E7</v>
      </c>
    </row>
    <row r="1558" ht="15.75" customHeight="1">
      <c r="A1558" s="1" t="str">
        <f t="array" ref="A1558">INDEX(Reference!$A$2:$A$18, INT((ROW()-2)/(18*3*2)) + 1)</f>
        <v>SOCCSKSARGEN</v>
      </c>
      <c r="B1558" s="2" t="str">
        <f t="array" ref="B1558">INDEX(Reference!$C$2:$C$19, MOD(ROW()-2, 18) + 1)</f>
        <v>....Transportation and storage</v>
      </c>
      <c r="C1558" s="1" t="str">
        <f t="shared" si="1"/>
        <v>Sub</v>
      </c>
      <c r="D1558" s="1">
        <f t="shared" si="2"/>
        <v>2024</v>
      </c>
      <c r="E1558" s="1" t="str">
        <f t="shared" si="3"/>
        <v>At Current Prices</v>
      </c>
      <c r="F1558" s="3">
        <v>2.8272284E7</v>
      </c>
    </row>
    <row r="1559" ht="15.75" customHeight="1">
      <c r="A1559" s="1" t="str">
        <f t="array" ref="A1559">INDEX(Reference!$A$2:$A$18, INT((ROW()-2)/(18*3*2)) + 1)</f>
        <v>SOCCSKSARGEN</v>
      </c>
      <c r="B1559" s="2" t="str">
        <f t="array" ref="B1559">INDEX(Reference!$C$2:$C$19, MOD(ROW()-2, 18) + 1)</f>
        <v>....Accommodation and food service activities</v>
      </c>
      <c r="C1559" s="1" t="str">
        <f t="shared" si="1"/>
        <v>Sub</v>
      </c>
      <c r="D1559" s="1">
        <f t="shared" si="2"/>
        <v>2024</v>
      </c>
      <c r="E1559" s="1" t="str">
        <f t="shared" si="3"/>
        <v>At Current Prices</v>
      </c>
      <c r="F1559" s="3">
        <v>2.0206421E7</v>
      </c>
    </row>
    <row r="1560" ht="15.75" customHeight="1">
      <c r="A1560" s="1" t="str">
        <f t="array" ref="A1560">INDEX(Reference!$A$2:$A$18, INT((ROW()-2)/(18*3*2)) + 1)</f>
        <v>SOCCSKSARGEN</v>
      </c>
      <c r="B1560" s="2" t="str">
        <f t="array" ref="B1560">INDEX(Reference!$C$2:$C$19, MOD(ROW()-2, 18) + 1)</f>
        <v>....Information and communication</v>
      </c>
      <c r="C1560" s="1" t="str">
        <f t="shared" si="1"/>
        <v>Sub</v>
      </c>
      <c r="D1560" s="1">
        <f t="shared" si="2"/>
        <v>2024</v>
      </c>
      <c r="E1560" s="1" t="str">
        <f t="shared" si="3"/>
        <v>At Current Prices</v>
      </c>
      <c r="F1560" s="3">
        <v>1.8797744E7</v>
      </c>
    </row>
    <row r="1561" ht="15.75" customHeight="1">
      <c r="A1561" s="1" t="str">
        <f t="array" ref="A1561">INDEX(Reference!$A$2:$A$18, INT((ROW()-2)/(18*3*2)) + 1)</f>
        <v>SOCCSKSARGEN</v>
      </c>
      <c r="B1561" s="2" t="str">
        <f t="array" ref="B1561">INDEX(Reference!$C$2:$C$19, MOD(ROW()-2, 18) + 1)</f>
        <v>....Financial and insurance activities</v>
      </c>
      <c r="C1561" s="1" t="str">
        <f t="shared" si="1"/>
        <v>Sub</v>
      </c>
      <c r="D1561" s="1">
        <f t="shared" si="2"/>
        <v>2024</v>
      </c>
      <c r="E1561" s="1" t="str">
        <f t="shared" si="3"/>
        <v>At Current Prices</v>
      </c>
      <c r="F1561" s="3">
        <v>5.7524199E7</v>
      </c>
    </row>
    <row r="1562" ht="15.75" customHeight="1">
      <c r="A1562" s="1" t="str">
        <f t="array" ref="A1562">INDEX(Reference!$A$2:$A$18, INT((ROW()-2)/(18*3*2)) + 1)</f>
        <v>SOCCSKSARGEN</v>
      </c>
      <c r="B1562" s="2" t="str">
        <f t="array" ref="B1562">INDEX(Reference!$C$2:$C$19, MOD(ROW()-2, 18) + 1)</f>
        <v>....Real estate and ownership of dwellings</v>
      </c>
      <c r="C1562" s="1" t="str">
        <f t="shared" si="1"/>
        <v>Sub</v>
      </c>
      <c r="D1562" s="1">
        <f t="shared" si="2"/>
        <v>2024</v>
      </c>
      <c r="E1562" s="1" t="str">
        <f t="shared" si="3"/>
        <v>At Current Prices</v>
      </c>
      <c r="F1562" s="3">
        <v>2.4159225E7</v>
      </c>
    </row>
    <row r="1563" ht="15.75" customHeight="1">
      <c r="A1563" s="1" t="str">
        <f t="array" ref="A1563">INDEX(Reference!$A$2:$A$18, INT((ROW()-2)/(18*3*2)) + 1)</f>
        <v>SOCCSKSARGEN</v>
      </c>
      <c r="B1563" s="2" t="str">
        <f t="array" ref="B1563">INDEX(Reference!$C$2:$C$19, MOD(ROW()-2, 18) + 1)</f>
        <v>....Professional and business services</v>
      </c>
      <c r="C1563" s="1" t="str">
        <f t="shared" si="1"/>
        <v>Sub</v>
      </c>
      <c r="D1563" s="1">
        <f t="shared" si="2"/>
        <v>2024</v>
      </c>
      <c r="E1563" s="1" t="str">
        <f t="shared" si="3"/>
        <v>At Current Prices</v>
      </c>
      <c r="F1563" s="3">
        <v>1.5894126E7</v>
      </c>
    </row>
    <row r="1564" ht="15.75" customHeight="1">
      <c r="A1564" s="1" t="str">
        <f t="array" ref="A1564">INDEX(Reference!$A$2:$A$18, INT((ROW()-2)/(18*3*2)) + 1)</f>
        <v>SOCCSKSARGEN</v>
      </c>
      <c r="B1564" s="2" t="str">
        <f t="array" ref="B1564">INDEX(Reference!$C$2:$C$19, MOD(ROW()-2, 18) + 1)</f>
        <v>....Public administration and defense; compulsory social activities</v>
      </c>
      <c r="C1564" s="1" t="str">
        <f t="shared" si="1"/>
        <v>Sub</v>
      </c>
      <c r="D1564" s="1">
        <f t="shared" si="2"/>
        <v>2024</v>
      </c>
      <c r="E1564" s="1" t="str">
        <f t="shared" si="3"/>
        <v>At Current Prices</v>
      </c>
      <c r="F1564" s="3">
        <v>2.9888796E7</v>
      </c>
    </row>
    <row r="1565" ht="15.75" customHeight="1">
      <c r="A1565" s="1" t="str">
        <f t="array" ref="A1565">INDEX(Reference!$A$2:$A$18, INT((ROW()-2)/(18*3*2)) + 1)</f>
        <v>SOCCSKSARGEN</v>
      </c>
      <c r="B1565" s="2" t="str">
        <f t="array" ref="B1565">INDEX(Reference!$C$2:$C$19, MOD(ROW()-2, 18) + 1)</f>
        <v>....Education</v>
      </c>
      <c r="C1565" s="1" t="str">
        <f t="shared" si="1"/>
        <v>Sub</v>
      </c>
      <c r="D1565" s="1">
        <f t="shared" si="2"/>
        <v>2024</v>
      </c>
      <c r="E1565" s="1" t="str">
        <f t="shared" si="3"/>
        <v>At Current Prices</v>
      </c>
      <c r="F1565" s="3">
        <v>3.9125325E7</v>
      </c>
    </row>
    <row r="1566" ht="15.75" customHeight="1">
      <c r="A1566" s="1" t="str">
        <f t="array" ref="A1566">INDEX(Reference!$A$2:$A$18, INT((ROW()-2)/(18*3*2)) + 1)</f>
        <v>SOCCSKSARGEN</v>
      </c>
      <c r="B1566" s="2" t="str">
        <f t="array" ref="B1566">INDEX(Reference!$C$2:$C$19, MOD(ROW()-2, 18) + 1)</f>
        <v>....Human health and social work activities</v>
      </c>
      <c r="C1566" s="1" t="str">
        <f t="shared" si="1"/>
        <v>Sub</v>
      </c>
      <c r="D1566" s="1">
        <f t="shared" si="2"/>
        <v>2024</v>
      </c>
      <c r="E1566" s="1" t="str">
        <f t="shared" si="3"/>
        <v>At Current Prices</v>
      </c>
      <c r="F1566" s="3">
        <v>1.4031129E7</v>
      </c>
    </row>
    <row r="1567" ht="15.75" customHeight="1">
      <c r="A1567" s="1" t="str">
        <f t="array" ref="A1567">INDEX(Reference!$A$2:$A$18, INT((ROW()-2)/(18*3*2)) + 1)</f>
        <v>SOCCSKSARGEN</v>
      </c>
      <c r="B1567" s="2" t="str">
        <f t="array" ref="B1567">INDEX(Reference!$C$2:$C$19, MOD(ROW()-2, 18) + 1)</f>
        <v>....Other services</v>
      </c>
      <c r="C1567" s="1" t="str">
        <f t="shared" si="1"/>
        <v>Sub</v>
      </c>
      <c r="D1567" s="1">
        <f t="shared" si="2"/>
        <v>2024</v>
      </c>
      <c r="E1567" s="1" t="str">
        <f t="shared" si="3"/>
        <v>At Current Prices</v>
      </c>
      <c r="F1567" s="3">
        <v>5082061.0</v>
      </c>
    </row>
    <row r="1568" ht="15.75" customHeight="1">
      <c r="A1568" s="1" t="str">
        <f t="array" ref="A1568">INDEX(Reference!$A$2:$A$18, INT((ROW()-2)/(18*3*2)) + 1)</f>
        <v>SOCCSKSARGEN</v>
      </c>
      <c r="B1568" s="2" t="str">
        <f t="array" ref="B1568">INDEX(Reference!$C$2:$C$19, MOD(ROW()-2, 18) + 1)</f>
        <v>..Agriculture, forestry, and fishing</v>
      </c>
      <c r="C1568" s="1" t="str">
        <f t="shared" si="1"/>
        <v>Main</v>
      </c>
      <c r="D1568" s="1">
        <f t="shared" si="2"/>
        <v>2022</v>
      </c>
      <c r="E1568" s="1" t="str">
        <f t="shared" si="3"/>
        <v>At Constant 2018 Prices</v>
      </c>
      <c r="F1568" s="3">
        <v>1.32803504E8</v>
      </c>
    </row>
    <row r="1569" ht="15.75" customHeight="1">
      <c r="A1569" s="1" t="str">
        <f t="array" ref="A1569">INDEX(Reference!$A$2:$A$18, INT((ROW()-2)/(18*3*2)) + 1)</f>
        <v>SOCCSKSARGEN</v>
      </c>
      <c r="B1569" s="2" t="str">
        <f t="array" ref="B1569">INDEX(Reference!$C$2:$C$19, MOD(ROW()-2, 18) + 1)</f>
        <v>..Industry</v>
      </c>
      <c r="C1569" s="1" t="str">
        <f t="shared" si="1"/>
        <v>Main</v>
      </c>
      <c r="D1569" s="1">
        <f t="shared" si="2"/>
        <v>2022</v>
      </c>
      <c r="E1569" s="1" t="str">
        <f t="shared" si="3"/>
        <v>At Constant 2018 Prices</v>
      </c>
      <c r="F1569" s="3">
        <v>1.24713515E8</v>
      </c>
    </row>
    <row r="1570" ht="15.75" customHeight="1">
      <c r="A1570" s="1" t="str">
        <f t="array" ref="A1570">INDEX(Reference!$A$2:$A$18, INT((ROW()-2)/(18*3*2)) + 1)</f>
        <v>SOCCSKSARGEN</v>
      </c>
      <c r="B1570" s="2" t="str">
        <f t="array" ref="B1570">INDEX(Reference!$C$2:$C$19, MOD(ROW()-2, 18) + 1)</f>
        <v>....Mining and quarrying</v>
      </c>
      <c r="C1570" s="1" t="str">
        <f t="shared" si="1"/>
        <v>Sub</v>
      </c>
      <c r="D1570" s="1">
        <f t="shared" si="2"/>
        <v>2022</v>
      </c>
      <c r="E1570" s="1" t="str">
        <f t="shared" si="3"/>
        <v>At Constant 2018 Prices</v>
      </c>
      <c r="F1570" s="3">
        <v>632464.0</v>
      </c>
    </row>
    <row r="1571" ht="15.75" customHeight="1">
      <c r="A1571" s="1" t="str">
        <f t="array" ref="A1571">INDEX(Reference!$A$2:$A$18, INT((ROW()-2)/(18*3*2)) + 1)</f>
        <v>SOCCSKSARGEN</v>
      </c>
      <c r="B1571" s="2" t="str">
        <f t="array" ref="B1571">INDEX(Reference!$C$2:$C$19, MOD(ROW()-2, 18) + 1)</f>
        <v>....Manufacturing</v>
      </c>
      <c r="C1571" s="1" t="str">
        <f t="shared" si="1"/>
        <v>Sub</v>
      </c>
      <c r="D1571" s="1">
        <f t="shared" si="2"/>
        <v>2022</v>
      </c>
      <c r="E1571" s="1" t="str">
        <f t="shared" si="3"/>
        <v>At Constant 2018 Prices</v>
      </c>
      <c r="F1571" s="3">
        <v>7.2413369E7</v>
      </c>
    </row>
    <row r="1572" ht="15.75" customHeight="1">
      <c r="A1572" s="1" t="str">
        <f t="array" ref="A1572">INDEX(Reference!$A$2:$A$18, INT((ROW()-2)/(18*3*2)) + 1)</f>
        <v>SOCCSKSARGEN</v>
      </c>
      <c r="B1572" s="2" t="str">
        <f t="array" ref="B1572">INDEX(Reference!$C$2:$C$19, MOD(ROW()-2, 18) + 1)</f>
        <v>....Electricity, steam, water and waste management</v>
      </c>
      <c r="C1572" s="1" t="str">
        <f t="shared" si="1"/>
        <v>Sub</v>
      </c>
      <c r="D1572" s="1">
        <f t="shared" si="2"/>
        <v>2022</v>
      </c>
      <c r="E1572" s="1" t="str">
        <f t="shared" si="3"/>
        <v>At Constant 2018 Prices</v>
      </c>
      <c r="F1572" s="3">
        <v>3.5652683E7</v>
      </c>
    </row>
    <row r="1573" ht="15.75" customHeight="1">
      <c r="A1573" s="1" t="str">
        <f t="array" ref="A1573">INDEX(Reference!$A$2:$A$18, INT((ROW()-2)/(18*3*2)) + 1)</f>
        <v>SOCCSKSARGEN</v>
      </c>
      <c r="B1573" s="2" t="str">
        <f t="array" ref="B1573">INDEX(Reference!$C$2:$C$19, MOD(ROW()-2, 18) + 1)</f>
        <v>....Construction</v>
      </c>
      <c r="C1573" s="1" t="str">
        <f t="shared" si="1"/>
        <v>Sub</v>
      </c>
      <c r="D1573" s="1">
        <f t="shared" si="2"/>
        <v>2022</v>
      </c>
      <c r="E1573" s="1" t="str">
        <f t="shared" si="3"/>
        <v>At Constant 2018 Prices</v>
      </c>
      <c r="F1573" s="3">
        <v>1.6014999E7</v>
      </c>
    </row>
    <row r="1574" ht="15.75" customHeight="1">
      <c r="A1574" s="1" t="str">
        <f t="array" ref="A1574">INDEX(Reference!$A$2:$A$18, INT((ROW()-2)/(18*3*2)) + 1)</f>
        <v>SOCCSKSARGEN</v>
      </c>
      <c r="B1574" s="2" t="str">
        <f t="array" ref="B1574">INDEX(Reference!$C$2:$C$19, MOD(ROW()-2, 18) + 1)</f>
        <v>..Services</v>
      </c>
      <c r="C1574" s="1" t="str">
        <f t="shared" si="1"/>
        <v>Main</v>
      </c>
      <c r="D1574" s="1">
        <f t="shared" si="2"/>
        <v>2022</v>
      </c>
      <c r="E1574" s="1" t="str">
        <f t="shared" si="3"/>
        <v>At Constant 2018 Prices</v>
      </c>
      <c r="F1574" s="3">
        <v>2.46139044E8</v>
      </c>
    </row>
    <row r="1575" ht="15.75" customHeight="1">
      <c r="A1575" s="1" t="str">
        <f t="array" ref="A1575">INDEX(Reference!$A$2:$A$18, INT((ROW()-2)/(18*3*2)) + 1)</f>
        <v>SOCCSKSARGEN</v>
      </c>
      <c r="B1575" s="2" t="str">
        <f t="array" ref="B1575">INDEX(Reference!$C$2:$C$19, MOD(ROW()-2, 18) + 1)</f>
        <v>....Wholesale and retail trade; repair of motor vehicles and motorcycles</v>
      </c>
      <c r="C1575" s="1" t="str">
        <f t="shared" si="1"/>
        <v>Sub</v>
      </c>
      <c r="D1575" s="1">
        <f t="shared" si="2"/>
        <v>2022</v>
      </c>
      <c r="E1575" s="1" t="str">
        <f t="shared" si="3"/>
        <v>At Constant 2018 Prices</v>
      </c>
      <c r="F1575" s="3">
        <v>7.3209116E7</v>
      </c>
    </row>
    <row r="1576" ht="15.75" customHeight="1">
      <c r="A1576" s="1" t="str">
        <f t="array" ref="A1576">INDEX(Reference!$A$2:$A$18, INT((ROW()-2)/(18*3*2)) + 1)</f>
        <v>SOCCSKSARGEN</v>
      </c>
      <c r="B1576" s="2" t="str">
        <f t="array" ref="B1576">INDEX(Reference!$C$2:$C$19, MOD(ROW()-2, 18) + 1)</f>
        <v>....Transportation and storage</v>
      </c>
      <c r="C1576" s="1" t="str">
        <f t="shared" si="1"/>
        <v>Sub</v>
      </c>
      <c r="D1576" s="1">
        <f t="shared" si="2"/>
        <v>2022</v>
      </c>
      <c r="E1576" s="1" t="str">
        <f t="shared" si="3"/>
        <v>At Constant 2018 Prices</v>
      </c>
      <c r="F1576" s="3">
        <v>1.6135168E7</v>
      </c>
    </row>
    <row r="1577" ht="15.75" customHeight="1">
      <c r="A1577" s="1" t="str">
        <f t="array" ref="A1577">INDEX(Reference!$A$2:$A$18, INT((ROW()-2)/(18*3*2)) + 1)</f>
        <v>SOCCSKSARGEN</v>
      </c>
      <c r="B1577" s="2" t="str">
        <f t="array" ref="B1577">INDEX(Reference!$C$2:$C$19, MOD(ROW()-2, 18) + 1)</f>
        <v>....Accommodation and food service activities</v>
      </c>
      <c r="C1577" s="1" t="str">
        <f t="shared" si="1"/>
        <v>Sub</v>
      </c>
      <c r="D1577" s="1">
        <f t="shared" si="2"/>
        <v>2022</v>
      </c>
      <c r="E1577" s="1" t="str">
        <f t="shared" si="3"/>
        <v>At Constant 2018 Prices</v>
      </c>
      <c r="F1577" s="3">
        <v>1.1542208E7</v>
      </c>
    </row>
    <row r="1578" ht="15.75" customHeight="1">
      <c r="A1578" s="1" t="str">
        <f t="array" ref="A1578">INDEX(Reference!$A$2:$A$18, INT((ROW()-2)/(18*3*2)) + 1)</f>
        <v>SOCCSKSARGEN</v>
      </c>
      <c r="B1578" s="2" t="str">
        <f t="array" ref="B1578">INDEX(Reference!$C$2:$C$19, MOD(ROW()-2, 18) + 1)</f>
        <v>....Information and communication</v>
      </c>
      <c r="C1578" s="1" t="str">
        <f t="shared" si="1"/>
        <v>Sub</v>
      </c>
      <c r="D1578" s="1">
        <f t="shared" si="2"/>
        <v>2022</v>
      </c>
      <c r="E1578" s="1" t="str">
        <f t="shared" si="3"/>
        <v>At Constant 2018 Prices</v>
      </c>
      <c r="F1578" s="3">
        <v>1.511946E7</v>
      </c>
    </row>
    <row r="1579" ht="15.75" customHeight="1">
      <c r="A1579" s="1" t="str">
        <f t="array" ref="A1579">INDEX(Reference!$A$2:$A$18, INT((ROW()-2)/(18*3*2)) + 1)</f>
        <v>SOCCSKSARGEN</v>
      </c>
      <c r="B1579" s="2" t="str">
        <f t="array" ref="B1579">INDEX(Reference!$C$2:$C$19, MOD(ROW()-2, 18) + 1)</f>
        <v>....Financial and insurance activities</v>
      </c>
      <c r="C1579" s="1" t="str">
        <f t="shared" si="1"/>
        <v>Sub</v>
      </c>
      <c r="D1579" s="1">
        <f t="shared" si="2"/>
        <v>2022</v>
      </c>
      <c r="E1579" s="1" t="str">
        <f t="shared" si="3"/>
        <v>At Constant 2018 Prices</v>
      </c>
      <c r="F1579" s="3">
        <v>3.8235385E7</v>
      </c>
    </row>
    <row r="1580" ht="15.75" customHeight="1">
      <c r="A1580" s="1" t="str">
        <f t="array" ref="A1580">INDEX(Reference!$A$2:$A$18, INT((ROW()-2)/(18*3*2)) + 1)</f>
        <v>SOCCSKSARGEN</v>
      </c>
      <c r="B1580" s="2" t="str">
        <f t="array" ref="B1580">INDEX(Reference!$C$2:$C$19, MOD(ROW()-2, 18) + 1)</f>
        <v>....Real estate and ownership of dwellings</v>
      </c>
      <c r="C1580" s="1" t="str">
        <f t="shared" si="1"/>
        <v>Sub</v>
      </c>
      <c r="D1580" s="1">
        <f t="shared" si="2"/>
        <v>2022</v>
      </c>
      <c r="E1580" s="1" t="str">
        <f t="shared" si="3"/>
        <v>At Constant 2018 Prices</v>
      </c>
      <c r="F1580" s="3">
        <v>1.7041861E7</v>
      </c>
    </row>
    <row r="1581" ht="15.75" customHeight="1">
      <c r="A1581" s="1" t="str">
        <f t="array" ref="A1581">INDEX(Reference!$A$2:$A$18, INT((ROW()-2)/(18*3*2)) + 1)</f>
        <v>SOCCSKSARGEN</v>
      </c>
      <c r="B1581" s="2" t="str">
        <f t="array" ref="B1581">INDEX(Reference!$C$2:$C$19, MOD(ROW()-2, 18) + 1)</f>
        <v>....Professional and business services</v>
      </c>
      <c r="C1581" s="1" t="str">
        <f t="shared" si="1"/>
        <v>Sub</v>
      </c>
      <c r="D1581" s="1">
        <f t="shared" si="2"/>
        <v>2022</v>
      </c>
      <c r="E1581" s="1" t="str">
        <f t="shared" si="3"/>
        <v>At Constant 2018 Prices</v>
      </c>
      <c r="F1581" s="3">
        <v>1.1841327E7</v>
      </c>
    </row>
    <row r="1582" ht="15.75" customHeight="1">
      <c r="A1582" s="1" t="str">
        <f t="array" ref="A1582">INDEX(Reference!$A$2:$A$18, INT((ROW()-2)/(18*3*2)) + 1)</f>
        <v>SOCCSKSARGEN</v>
      </c>
      <c r="B1582" s="2" t="str">
        <f t="array" ref="B1582">INDEX(Reference!$C$2:$C$19, MOD(ROW()-2, 18) + 1)</f>
        <v>....Public administration and defense; compulsory social activities</v>
      </c>
      <c r="C1582" s="1" t="str">
        <f t="shared" si="1"/>
        <v>Sub</v>
      </c>
      <c r="D1582" s="1">
        <f t="shared" si="2"/>
        <v>2022</v>
      </c>
      <c r="E1582" s="1" t="str">
        <f t="shared" si="3"/>
        <v>At Constant 2018 Prices</v>
      </c>
      <c r="F1582" s="3">
        <v>2.2688003E7</v>
      </c>
    </row>
    <row r="1583" ht="15.75" customHeight="1">
      <c r="A1583" s="1" t="str">
        <f t="array" ref="A1583">INDEX(Reference!$A$2:$A$18, INT((ROW()-2)/(18*3*2)) + 1)</f>
        <v>SOCCSKSARGEN</v>
      </c>
      <c r="B1583" s="2" t="str">
        <f t="array" ref="B1583">INDEX(Reference!$C$2:$C$19, MOD(ROW()-2, 18) + 1)</f>
        <v>....Education</v>
      </c>
      <c r="C1583" s="1" t="str">
        <f t="shared" si="1"/>
        <v>Sub</v>
      </c>
      <c r="D1583" s="1">
        <f t="shared" si="2"/>
        <v>2022</v>
      </c>
      <c r="E1583" s="1" t="str">
        <f t="shared" si="3"/>
        <v>At Constant 2018 Prices</v>
      </c>
      <c r="F1583" s="3">
        <v>2.832132E7</v>
      </c>
    </row>
    <row r="1584" ht="15.75" customHeight="1">
      <c r="A1584" s="1" t="str">
        <f t="array" ref="A1584">INDEX(Reference!$A$2:$A$18, INT((ROW()-2)/(18*3*2)) + 1)</f>
        <v>SOCCSKSARGEN</v>
      </c>
      <c r="B1584" s="2" t="str">
        <f t="array" ref="B1584">INDEX(Reference!$C$2:$C$19, MOD(ROW()-2, 18) + 1)</f>
        <v>....Human health and social work activities</v>
      </c>
      <c r="C1584" s="1" t="str">
        <f t="shared" si="1"/>
        <v>Sub</v>
      </c>
      <c r="D1584" s="1">
        <f t="shared" si="2"/>
        <v>2022</v>
      </c>
      <c r="E1584" s="1" t="str">
        <f t="shared" si="3"/>
        <v>At Constant 2018 Prices</v>
      </c>
      <c r="F1584" s="3">
        <v>8528837.0</v>
      </c>
    </row>
    <row r="1585" ht="15.75" customHeight="1">
      <c r="A1585" s="1" t="str">
        <f t="array" ref="A1585">INDEX(Reference!$A$2:$A$18, INT((ROW()-2)/(18*3*2)) + 1)</f>
        <v>SOCCSKSARGEN</v>
      </c>
      <c r="B1585" s="2" t="str">
        <f t="array" ref="B1585">INDEX(Reference!$C$2:$C$19, MOD(ROW()-2, 18) + 1)</f>
        <v>....Other services</v>
      </c>
      <c r="C1585" s="1" t="str">
        <f t="shared" si="1"/>
        <v>Sub</v>
      </c>
      <c r="D1585" s="1">
        <f t="shared" si="2"/>
        <v>2022</v>
      </c>
      <c r="E1585" s="1" t="str">
        <f t="shared" si="3"/>
        <v>At Constant 2018 Prices</v>
      </c>
      <c r="F1585" s="3">
        <v>3476359.0</v>
      </c>
    </row>
    <row r="1586" ht="15.75" customHeight="1">
      <c r="A1586" s="1" t="str">
        <f t="array" ref="A1586">INDEX(Reference!$A$2:$A$18, INT((ROW()-2)/(18*3*2)) + 1)</f>
        <v>SOCCSKSARGEN</v>
      </c>
      <c r="B1586" s="2" t="str">
        <f t="array" ref="B1586">INDEX(Reference!$C$2:$C$19, MOD(ROW()-2, 18) + 1)</f>
        <v>..Agriculture, forestry, and fishing</v>
      </c>
      <c r="C1586" s="1" t="str">
        <f t="shared" si="1"/>
        <v>Main</v>
      </c>
      <c r="D1586" s="1">
        <f t="shared" si="2"/>
        <v>2023</v>
      </c>
      <c r="E1586" s="1" t="str">
        <f t="shared" si="3"/>
        <v>At Constant 2018 Prices</v>
      </c>
      <c r="F1586" s="3">
        <v>1.29678271E8</v>
      </c>
    </row>
    <row r="1587" ht="15.75" customHeight="1">
      <c r="A1587" s="1" t="str">
        <f t="array" ref="A1587">INDEX(Reference!$A$2:$A$18, INT((ROW()-2)/(18*3*2)) + 1)</f>
        <v>SOCCSKSARGEN</v>
      </c>
      <c r="B1587" s="2" t="str">
        <f t="array" ref="B1587">INDEX(Reference!$C$2:$C$19, MOD(ROW()-2, 18) + 1)</f>
        <v>..Industry</v>
      </c>
      <c r="C1587" s="1" t="str">
        <f t="shared" si="1"/>
        <v>Main</v>
      </c>
      <c r="D1587" s="1">
        <f t="shared" si="2"/>
        <v>2023</v>
      </c>
      <c r="E1587" s="1" t="str">
        <f t="shared" si="3"/>
        <v>At Constant 2018 Prices</v>
      </c>
      <c r="F1587" s="3">
        <v>1.26381631E8</v>
      </c>
    </row>
    <row r="1588" ht="15.75" customHeight="1">
      <c r="A1588" s="1" t="str">
        <f t="array" ref="A1588">INDEX(Reference!$A$2:$A$18, INT((ROW()-2)/(18*3*2)) + 1)</f>
        <v>SOCCSKSARGEN</v>
      </c>
      <c r="B1588" s="2" t="str">
        <f t="array" ref="B1588">INDEX(Reference!$C$2:$C$19, MOD(ROW()-2, 18) + 1)</f>
        <v>....Mining and quarrying</v>
      </c>
      <c r="C1588" s="1" t="str">
        <f t="shared" si="1"/>
        <v>Sub</v>
      </c>
      <c r="D1588" s="1">
        <f t="shared" si="2"/>
        <v>2023</v>
      </c>
      <c r="E1588" s="1" t="str">
        <f t="shared" si="3"/>
        <v>At Constant 2018 Prices</v>
      </c>
      <c r="F1588" s="3">
        <v>673359.0</v>
      </c>
    </row>
    <row r="1589" ht="15.75" customHeight="1">
      <c r="A1589" s="1" t="str">
        <f t="array" ref="A1589">INDEX(Reference!$A$2:$A$18, INT((ROW()-2)/(18*3*2)) + 1)</f>
        <v>SOCCSKSARGEN</v>
      </c>
      <c r="B1589" s="2" t="str">
        <f t="array" ref="B1589">INDEX(Reference!$C$2:$C$19, MOD(ROW()-2, 18) + 1)</f>
        <v>....Manufacturing</v>
      </c>
      <c r="C1589" s="1" t="str">
        <f t="shared" si="1"/>
        <v>Sub</v>
      </c>
      <c r="D1589" s="1">
        <f t="shared" si="2"/>
        <v>2023</v>
      </c>
      <c r="E1589" s="1" t="str">
        <f t="shared" si="3"/>
        <v>At Constant 2018 Prices</v>
      </c>
      <c r="F1589" s="3">
        <v>6.816459E7</v>
      </c>
    </row>
    <row r="1590" ht="15.75" customHeight="1">
      <c r="A1590" s="1" t="str">
        <f t="array" ref="A1590">INDEX(Reference!$A$2:$A$18, INT((ROW()-2)/(18*3*2)) + 1)</f>
        <v>SOCCSKSARGEN</v>
      </c>
      <c r="B1590" s="2" t="str">
        <f t="array" ref="B1590">INDEX(Reference!$C$2:$C$19, MOD(ROW()-2, 18) + 1)</f>
        <v>....Electricity, steam, water and waste management</v>
      </c>
      <c r="C1590" s="1" t="str">
        <f t="shared" si="1"/>
        <v>Sub</v>
      </c>
      <c r="D1590" s="1">
        <f t="shared" si="2"/>
        <v>2023</v>
      </c>
      <c r="E1590" s="1" t="str">
        <f t="shared" si="3"/>
        <v>At Constant 2018 Prices</v>
      </c>
      <c r="F1590" s="3">
        <v>3.8981703E7</v>
      </c>
    </row>
    <row r="1591" ht="15.75" customHeight="1">
      <c r="A1591" s="1" t="str">
        <f t="array" ref="A1591">INDEX(Reference!$A$2:$A$18, INT((ROW()-2)/(18*3*2)) + 1)</f>
        <v>SOCCSKSARGEN</v>
      </c>
      <c r="B1591" s="2" t="str">
        <f t="array" ref="B1591">INDEX(Reference!$C$2:$C$19, MOD(ROW()-2, 18) + 1)</f>
        <v>....Construction</v>
      </c>
      <c r="C1591" s="1" t="str">
        <f t="shared" si="1"/>
        <v>Sub</v>
      </c>
      <c r="D1591" s="1">
        <f t="shared" si="2"/>
        <v>2023</v>
      </c>
      <c r="E1591" s="1" t="str">
        <f t="shared" si="3"/>
        <v>At Constant 2018 Prices</v>
      </c>
      <c r="F1591" s="3">
        <v>1.8561979E7</v>
      </c>
    </row>
    <row r="1592" ht="15.75" customHeight="1">
      <c r="A1592" s="1" t="str">
        <f t="array" ref="A1592">INDEX(Reference!$A$2:$A$18, INT((ROW()-2)/(18*3*2)) + 1)</f>
        <v>SOCCSKSARGEN</v>
      </c>
      <c r="B1592" s="2" t="str">
        <f t="array" ref="B1592">INDEX(Reference!$C$2:$C$19, MOD(ROW()-2, 18) + 1)</f>
        <v>..Services</v>
      </c>
      <c r="C1592" s="1" t="str">
        <f t="shared" si="1"/>
        <v>Main</v>
      </c>
      <c r="D1592" s="1">
        <f t="shared" si="2"/>
        <v>2023</v>
      </c>
      <c r="E1592" s="1" t="str">
        <f t="shared" si="3"/>
        <v>At Constant 2018 Prices</v>
      </c>
      <c r="F1592" s="3">
        <v>2.65302208E8</v>
      </c>
    </row>
    <row r="1593" ht="15.75" customHeight="1">
      <c r="A1593" s="1" t="str">
        <f t="array" ref="A1593">INDEX(Reference!$A$2:$A$18, INT((ROW()-2)/(18*3*2)) + 1)</f>
        <v>SOCCSKSARGEN</v>
      </c>
      <c r="B1593" s="2" t="str">
        <f t="array" ref="B1593">INDEX(Reference!$C$2:$C$19, MOD(ROW()-2, 18) + 1)</f>
        <v>....Wholesale and retail trade; repair of motor vehicles and motorcycles</v>
      </c>
      <c r="C1593" s="1" t="str">
        <f t="shared" si="1"/>
        <v>Sub</v>
      </c>
      <c r="D1593" s="1">
        <f t="shared" si="2"/>
        <v>2023</v>
      </c>
      <c r="E1593" s="1" t="str">
        <f t="shared" si="3"/>
        <v>At Constant 2018 Prices</v>
      </c>
      <c r="F1593" s="3">
        <v>7.7433667E7</v>
      </c>
    </row>
    <row r="1594" ht="15.75" customHeight="1">
      <c r="A1594" s="1" t="str">
        <f t="array" ref="A1594">INDEX(Reference!$A$2:$A$18, INT((ROW()-2)/(18*3*2)) + 1)</f>
        <v>SOCCSKSARGEN</v>
      </c>
      <c r="B1594" s="2" t="str">
        <f t="array" ref="B1594">INDEX(Reference!$C$2:$C$19, MOD(ROW()-2, 18) + 1)</f>
        <v>....Transportation and storage</v>
      </c>
      <c r="C1594" s="1" t="str">
        <f t="shared" si="1"/>
        <v>Sub</v>
      </c>
      <c r="D1594" s="1">
        <f t="shared" si="2"/>
        <v>2023</v>
      </c>
      <c r="E1594" s="1" t="str">
        <f t="shared" si="3"/>
        <v>At Constant 2018 Prices</v>
      </c>
      <c r="F1594" s="3">
        <v>1.8145448E7</v>
      </c>
    </row>
    <row r="1595" ht="15.75" customHeight="1">
      <c r="A1595" s="1" t="str">
        <f t="array" ref="A1595">INDEX(Reference!$A$2:$A$18, INT((ROW()-2)/(18*3*2)) + 1)</f>
        <v>SOCCSKSARGEN</v>
      </c>
      <c r="B1595" s="2" t="str">
        <f t="array" ref="B1595">INDEX(Reference!$C$2:$C$19, MOD(ROW()-2, 18) + 1)</f>
        <v>....Accommodation and food service activities</v>
      </c>
      <c r="C1595" s="1" t="str">
        <f t="shared" si="1"/>
        <v>Sub</v>
      </c>
      <c r="D1595" s="1">
        <f t="shared" si="2"/>
        <v>2023</v>
      </c>
      <c r="E1595" s="1" t="str">
        <f t="shared" si="3"/>
        <v>At Constant 2018 Prices</v>
      </c>
      <c r="F1595" s="3">
        <v>1.3507859E7</v>
      </c>
    </row>
    <row r="1596" ht="15.75" customHeight="1">
      <c r="A1596" s="1" t="str">
        <f t="array" ref="A1596">INDEX(Reference!$A$2:$A$18, INT((ROW()-2)/(18*3*2)) + 1)</f>
        <v>SOCCSKSARGEN</v>
      </c>
      <c r="B1596" s="2" t="str">
        <f t="array" ref="B1596">INDEX(Reference!$C$2:$C$19, MOD(ROW()-2, 18) + 1)</f>
        <v>....Information and communication</v>
      </c>
      <c r="C1596" s="1" t="str">
        <f t="shared" si="1"/>
        <v>Sub</v>
      </c>
      <c r="D1596" s="1">
        <f t="shared" si="2"/>
        <v>2023</v>
      </c>
      <c r="E1596" s="1" t="str">
        <f t="shared" si="3"/>
        <v>At Constant 2018 Prices</v>
      </c>
      <c r="F1596" s="3">
        <v>1.5957802E7</v>
      </c>
    </row>
    <row r="1597" ht="15.75" customHeight="1">
      <c r="A1597" s="1" t="str">
        <f t="array" ref="A1597">INDEX(Reference!$A$2:$A$18, INT((ROW()-2)/(18*3*2)) + 1)</f>
        <v>SOCCSKSARGEN</v>
      </c>
      <c r="B1597" s="2" t="str">
        <f t="array" ref="B1597">INDEX(Reference!$C$2:$C$19, MOD(ROW()-2, 18) + 1)</f>
        <v>....Financial and insurance activities</v>
      </c>
      <c r="C1597" s="1" t="str">
        <f t="shared" si="1"/>
        <v>Sub</v>
      </c>
      <c r="D1597" s="1">
        <f t="shared" si="2"/>
        <v>2023</v>
      </c>
      <c r="E1597" s="1" t="str">
        <f t="shared" si="3"/>
        <v>At Constant 2018 Prices</v>
      </c>
      <c r="F1597" s="3">
        <v>4.2340678E7</v>
      </c>
    </row>
    <row r="1598" ht="15.75" customHeight="1">
      <c r="A1598" s="1" t="str">
        <f t="array" ref="A1598">INDEX(Reference!$A$2:$A$18, INT((ROW()-2)/(18*3*2)) + 1)</f>
        <v>SOCCSKSARGEN</v>
      </c>
      <c r="B1598" s="2" t="str">
        <f t="array" ref="B1598">INDEX(Reference!$C$2:$C$19, MOD(ROW()-2, 18) + 1)</f>
        <v>....Real estate and ownership of dwellings</v>
      </c>
      <c r="C1598" s="1" t="str">
        <f t="shared" si="1"/>
        <v>Sub</v>
      </c>
      <c r="D1598" s="1">
        <f t="shared" si="2"/>
        <v>2023</v>
      </c>
      <c r="E1598" s="1" t="str">
        <f t="shared" si="3"/>
        <v>At Constant 2018 Prices</v>
      </c>
      <c r="F1598" s="3">
        <v>1.7699313E7</v>
      </c>
    </row>
    <row r="1599" ht="15.75" customHeight="1">
      <c r="A1599" s="1" t="str">
        <f t="array" ref="A1599">INDEX(Reference!$A$2:$A$18, INT((ROW()-2)/(18*3*2)) + 1)</f>
        <v>SOCCSKSARGEN</v>
      </c>
      <c r="B1599" s="2" t="str">
        <f t="array" ref="B1599">INDEX(Reference!$C$2:$C$19, MOD(ROW()-2, 18) + 1)</f>
        <v>....Professional and business services</v>
      </c>
      <c r="C1599" s="1" t="str">
        <f t="shared" si="1"/>
        <v>Sub</v>
      </c>
      <c r="D1599" s="1">
        <f t="shared" si="2"/>
        <v>2023</v>
      </c>
      <c r="E1599" s="1" t="str">
        <f t="shared" si="3"/>
        <v>At Constant 2018 Prices</v>
      </c>
      <c r="F1599" s="3">
        <v>1.2713282E7</v>
      </c>
    </row>
    <row r="1600" ht="15.75" customHeight="1">
      <c r="A1600" s="1" t="str">
        <f t="array" ref="A1600">INDEX(Reference!$A$2:$A$18, INT((ROW()-2)/(18*3*2)) + 1)</f>
        <v>SOCCSKSARGEN</v>
      </c>
      <c r="B1600" s="2" t="str">
        <f t="array" ref="B1600">INDEX(Reference!$C$2:$C$19, MOD(ROW()-2, 18) + 1)</f>
        <v>....Public administration and defense; compulsory social activities</v>
      </c>
      <c r="C1600" s="1" t="str">
        <f t="shared" si="1"/>
        <v>Sub</v>
      </c>
      <c r="D1600" s="1">
        <f t="shared" si="2"/>
        <v>2023</v>
      </c>
      <c r="E1600" s="1" t="str">
        <f t="shared" si="3"/>
        <v>At Constant 2018 Prices</v>
      </c>
      <c r="F1600" s="3">
        <v>2.413191E7</v>
      </c>
    </row>
    <row r="1601" ht="15.75" customHeight="1">
      <c r="A1601" s="1" t="str">
        <f t="array" ref="A1601">INDEX(Reference!$A$2:$A$18, INT((ROW()-2)/(18*3*2)) + 1)</f>
        <v>SOCCSKSARGEN</v>
      </c>
      <c r="B1601" s="2" t="str">
        <f t="array" ref="B1601">INDEX(Reference!$C$2:$C$19, MOD(ROW()-2, 18) + 1)</f>
        <v>....Education</v>
      </c>
      <c r="C1601" s="1" t="str">
        <f t="shared" si="1"/>
        <v>Sub</v>
      </c>
      <c r="D1601" s="1">
        <f t="shared" si="2"/>
        <v>2023</v>
      </c>
      <c r="E1601" s="1" t="str">
        <f t="shared" si="3"/>
        <v>At Constant 2018 Prices</v>
      </c>
      <c r="F1601" s="3">
        <v>3.0277862E7</v>
      </c>
    </row>
    <row r="1602" ht="15.75" customHeight="1">
      <c r="A1602" s="1" t="str">
        <f t="array" ref="A1602">INDEX(Reference!$A$2:$A$18, INT((ROW()-2)/(18*3*2)) + 1)</f>
        <v>SOCCSKSARGEN</v>
      </c>
      <c r="B1602" s="2" t="str">
        <f t="array" ref="B1602">INDEX(Reference!$C$2:$C$19, MOD(ROW()-2, 18) + 1)</f>
        <v>....Human health and social work activities</v>
      </c>
      <c r="C1602" s="1" t="str">
        <f t="shared" si="1"/>
        <v>Sub</v>
      </c>
      <c r="D1602" s="1">
        <f t="shared" si="2"/>
        <v>2023</v>
      </c>
      <c r="E1602" s="1" t="str">
        <f t="shared" si="3"/>
        <v>At Constant 2018 Prices</v>
      </c>
      <c r="F1602" s="3">
        <v>9269649.0</v>
      </c>
    </row>
    <row r="1603" ht="15.75" customHeight="1">
      <c r="A1603" s="1" t="str">
        <f t="array" ref="A1603">INDEX(Reference!$A$2:$A$18, INT((ROW()-2)/(18*3*2)) + 1)</f>
        <v>SOCCSKSARGEN</v>
      </c>
      <c r="B1603" s="2" t="str">
        <f t="array" ref="B1603">INDEX(Reference!$C$2:$C$19, MOD(ROW()-2, 18) + 1)</f>
        <v>....Other services</v>
      </c>
      <c r="C1603" s="1" t="str">
        <f t="shared" si="1"/>
        <v>Sub</v>
      </c>
      <c r="D1603" s="1">
        <f t="shared" si="2"/>
        <v>2023</v>
      </c>
      <c r="E1603" s="1" t="str">
        <f t="shared" si="3"/>
        <v>At Constant 2018 Prices</v>
      </c>
      <c r="F1603" s="3">
        <v>3824737.0</v>
      </c>
    </row>
    <row r="1604" ht="15.75" customHeight="1">
      <c r="A1604" s="1" t="str">
        <f t="array" ref="A1604">INDEX(Reference!$A$2:$A$18, INT((ROW()-2)/(18*3*2)) + 1)</f>
        <v>SOCCSKSARGEN</v>
      </c>
      <c r="B1604" s="2" t="str">
        <f t="array" ref="B1604">INDEX(Reference!$C$2:$C$19, MOD(ROW()-2, 18) + 1)</f>
        <v>..Agriculture, forestry, and fishing</v>
      </c>
      <c r="C1604" s="1" t="str">
        <f t="shared" si="1"/>
        <v>Main</v>
      </c>
      <c r="D1604" s="1">
        <f t="shared" si="2"/>
        <v>2024</v>
      </c>
      <c r="E1604" s="1" t="str">
        <f t="shared" si="3"/>
        <v>At Constant 2018 Prices</v>
      </c>
      <c r="F1604" s="3">
        <v>1.30856922E8</v>
      </c>
    </row>
    <row r="1605" ht="15.75" customHeight="1">
      <c r="A1605" s="1" t="str">
        <f t="array" ref="A1605">INDEX(Reference!$A$2:$A$18, INT((ROW()-2)/(18*3*2)) + 1)</f>
        <v>SOCCSKSARGEN</v>
      </c>
      <c r="B1605" s="2" t="str">
        <f t="array" ref="B1605">INDEX(Reference!$C$2:$C$19, MOD(ROW()-2, 18) + 1)</f>
        <v>..Industry</v>
      </c>
      <c r="C1605" s="1" t="str">
        <f t="shared" si="1"/>
        <v>Main</v>
      </c>
      <c r="D1605" s="1">
        <f t="shared" si="2"/>
        <v>2024</v>
      </c>
      <c r="E1605" s="1" t="str">
        <f t="shared" si="3"/>
        <v>At Constant 2018 Prices</v>
      </c>
      <c r="F1605" s="3">
        <v>1.35649349E8</v>
      </c>
    </row>
    <row r="1606" ht="15.75" customHeight="1">
      <c r="A1606" s="1" t="str">
        <f t="array" ref="A1606">INDEX(Reference!$A$2:$A$18, INT((ROW()-2)/(18*3*2)) + 1)</f>
        <v>SOCCSKSARGEN</v>
      </c>
      <c r="B1606" s="2" t="str">
        <f t="array" ref="B1606">INDEX(Reference!$C$2:$C$19, MOD(ROW()-2, 18) + 1)</f>
        <v>....Mining and quarrying</v>
      </c>
      <c r="C1606" s="1" t="str">
        <f t="shared" si="1"/>
        <v>Sub</v>
      </c>
      <c r="D1606" s="1">
        <f t="shared" si="2"/>
        <v>2024</v>
      </c>
      <c r="E1606" s="1" t="str">
        <f t="shared" si="3"/>
        <v>At Constant 2018 Prices</v>
      </c>
      <c r="F1606" s="3">
        <v>2540242.0</v>
      </c>
    </row>
    <row r="1607" ht="15.75" customHeight="1">
      <c r="A1607" s="1" t="str">
        <f t="array" ref="A1607">INDEX(Reference!$A$2:$A$18, INT((ROW()-2)/(18*3*2)) + 1)</f>
        <v>SOCCSKSARGEN</v>
      </c>
      <c r="B1607" s="2" t="str">
        <f t="array" ref="B1607">INDEX(Reference!$C$2:$C$19, MOD(ROW()-2, 18) + 1)</f>
        <v>....Manufacturing</v>
      </c>
      <c r="C1607" s="1" t="str">
        <f t="shared" si="1"/>
        <v>Sub</v>
      </c>
      <c r="D1607" s="1">
        <f t="shared" si="2"/>
        <v>2024</v>
      </c>
      <c r="E1607" s="1" t="str">
        <f t="shared" si="3"/>
        <v>At Constant 2018 Prices</v>
      </c>
      <c r="F1607" s="3">
        <v>6.918195E7</v>
      </c>
    </row>
    <row r="1608" ht="15.75" customHeight="1">
      <c r="A1608" s="1" t="str">
        <f t="array" ref="A1608">INDEX(Reference!$A$2:$A$18, INT((ROW()-2)/(18*3*2)) + 1)</f>
        <v>SOCCSKSARGEN</v>
      </c>
      <c r="B1608" s="2" t="str">
        <f t="array" ref="B1608">INDEX(Reference!$C$2:$C$19, MOD(ROW()-2, 18) + 1)</f>
        <v>....Electricity, steam, water and waste management</v>
      </c>
      <c r="C1608" s="1" t="str">
        <f t="shared" si="1"/>
        <v>Sub</v>
      </c>
      <c r="D1608" s="1">
        <f t="shared" si="2"/>
        <v>2024</v>
      </c>
      <c r="E1608" s="1" t="str">
        <f t="shared" si="3"/>
        <v>At Constant 2018 Prices</v>
      </c>
      <c r="F1608" s="3">
        <v>4.3346538E7</v>
      </c>
    </row>
    <row r="1609" ht="15.75" customHeight="1">
      <c r="A1609" s="1" t="str">
        <f t="array" ref="A1609">INDEX(Reference!$A$2:$A$18, INT((ROW()-2)/(18*3*2)) + 1)</f>
        <v>SOCCSKSARGEN</v>
      </c>
      <c r="B1609" s="2" t="str">
        <f t="array" ref="B1609">INDEX(Reference!$C$2:$C$19, MOD(ROW()-2, 18) + 1)</f>
        <v>....Construction</v>
      </c>
      <c r="C1609" s="1" t="str">
        <f t="shared" si="1"/>
        <v>Sub</v>
      </c>
      <c r="D1609" s="1">
        <f t="shared" si="2"/>
        <v>2024</v>
      </c>
      <c r="E1609" s="1" t="str">
        <f t="shared" si="3"/>
        <v>At Constant 2018 Prices</v>
      </c>
      <c r="F1609" s="3">
        <v>2.0580619E7</v>
      </c>
    </row>
    <row r="1610" ht="15.75" customHeight="1">
      <c r="A1610" s="1" t="str">
        <f t="array" ref="A1610">INDEX(Reference!$A$2:$A$18, INT((ROW()-2)/(18*3*2)) + 1)</f>
        <v>SOCCSKSARGEN</v>
      </c>
      <c r="B1610" s="2" t="str">
        <f t="array" ref="B1610">INDEX(Reference!$C$2:$C$19, MOD(ROW()-2, 18) + 1)</f>
        <v>..Services</v>
      </c>
      <c r="C1610" s="1" t="str">
        <f t="shared" si="1"/>
        <v>Main</v>
      </c>
      <c r="D1610" s="1">
        <f t="shared" si="2"/>
        <v>2024</v>
      </c>
      <c r="E1610" s="1" t="str">
        <f t="shared" si="3"/>
        <v>At Constant 2018 Prices</v>
      </c>
      <c r="F1610" s="3">
        <v>2.83570038E8</v>
      </c>
    </row>
    <row r="1611" ht="15.75" customHeight="1">
      <c r="A1611" s="1" t="str">
        <f t="array" ref="A1611">INDEX(Reference!$A$2:$A$18, INT((ROW()-2)/(18*3*2)) + 1)</f>
        <v>SOCCSKSARGEN</v>
      </c>
      <c r="B1611" s="2" t="str">
        <f t="array" ref="B1611">INDEX(Reference!$C$2:$C$19, MOD(ROW()-2, 18) + 1)</f>
        <v>....Wholesale and retail trade; repair of motor vehicles and motorcycles</v>
      </c>
      <c r="C1611" s="1" t="str">
        <f t="shared" si="1"/>
        <v>Sub</v>
      </c>
      <c r="D1611" s="1">
        <f t="shared" si="2"/>
        <v>2024</v>
      </c>
      <c r="E1611" s="1" t="str">
        <f t="shared" si="3"/>
        <v>At Constant 2018 Prices</v>
      </c>
      <c r="F1611" s="3">
        <v>8.1787501E7</v>
      </c>
    </row>
    <row r="1612" ht="15.75" customHeight="1">
      <c r="A1612" s="1" t="str">
        <f t="array" ref="A1612">INDEX(Reference!$A$2:$A$18, INT((ROW()-2)/(18*3*2)) + 1)</f>
        <v>SOCCSKSARGEN</v>
      </c>
      <c r="B1612" s="2" t="str">
        <f t="array" ref="B1612">INDEX(Reference!$C$2:$C$19, MOD(ROW()-2, 18) + 1)</f>
        <v>....Transportation and storage</v>
      </c>
      <c r="C1612" s="1" t="str">
        <f t="shared" si="1"/>
        <v>Sub</v>
      </c>
      <c r="D1612" s="1">
        <f t="shared" si="2"/>
        <v>2024</v>
      </c>
      <c r="E1612" s="1" t="str">
        <f t="shared" si="3"/>
        <v>At Constant 2018 Prices</v>
      </c>
      <c r="F1612" s="3">
        <v>1.9787639E7</v>
      </c>
    </row>
    <row r="1613" ht="15.75" customHeight="1">
      <c r="A1613" s="1" t="str">
        <f t="array" ref="A1613">INDEX(Reference!$A$2:$A$18, INT((ROW()-2)/(18*3*2)) + 1)</f>
        <v>SOCCSKSARGEN</v>
      </c>
      <c r="B1613" s="2" t="str">
        <f t="array" ref="B1613">INDEX(Reference!$C$2:$C$19, MOD(ROW()-2, 18) + 1)</f>
        <v>....Accommodation and food service activities</v>
      </c>
      <c r="C1613" s="1" t="str">
        <f t="shared" si="1"/>
        <v>Sub</v>
      </c>
      <c r="D1613" s="1">
        <f t="shared" si="2"/>
        <v>2024</v>
      </c>
      <c r="E1613" s="1" t="str">
        <f t="shared" si="3"/>
        <v>At Constant 2018 Prices</v>
      </c>
      <c r="F1613" s="3">
        <v>1.522891E7</v>
      </c>
    </row>
    <row r="1614" ht="15.75" customHeight="1">
      <c r="A1614" s="1" t="str">
        <f t="array" ref="A1614">INDEX(Reference!$A$2:$A$18, INT((ROW()-2)/(18*3*2)) + 1)</f>
        <v>SOCCSKSARGEN</v>
      </c>
      <c r="B1614" s="2" t="str">
        <f t="array" ref="B1614">INDEX(Reference!$C$2:$C$19, MOD(ROW()-2, 18) + 1)</f>
        <v>....Information and communication</v>
      </c>
      <c r="C1614" s="1" t="str">
        <f t="shared" si="1"/>
        <v>Sub</v>
      </c>
      <c r="D1614" s="1">
        <f t="shared" si="2"/>
        <v>2024</v>
      </c>
      <c r="E1614" s="1" t="str">
        <f t="shared" si="3"/>
        <v>At Constant 2018 Prices</v>
      </c>
      <c r="F1614" s="3">
        <v>1.6851747E7</v>
      </c>
    </row>
    <row r="1615" ht="15.75" customHeight="1">
      <c r="A1615" s="1" t="str">
        <f t="array" ref="A1615">INDEX(Reference!$A$2:$A$18, INT((ROW()-2)/(18*3*2)) + 1)</f>
        <v>SOCCSKSARGEN</v>
      </c>
      <c r="B1615" s="2" t="str">
        <f t="array" ref="B1615">INDEX(Reference!$C$2:$C$19, MOD(ROW()-2, 18) + 1)</f>
        <v>....Financial and insurance activities</v>
      </c>
      <c r="C1615" s="1" t="str">
        <f t="shared" si="1"/>
        <v>Sub</v>
      </c>
      <c r="D1615" s="1">
        <f t="shared" si="2"/>
        <v>2024</v>
      </c>
      <c r="E1615" s="1" t="str">
        <f t="shared" si="3"/>
        <v>At Constant 2018 Prices</v>
      </c>
      <c r="F1615" s="3">
        <v>4.5725615E7</v>
      </c>
    </row>
    <row r="1616" ht="15.75" customHeight="1">
      <c r="A1616" s="1" t="str">
        <f t="array" ref="A1616">INDEX(Reference!$A$2:$A$18, INT((ROW()-2)/(18*3*2)) + 1)</f>
        <v>SOCCSKSARGEN</v>
      </c>
      <c r="B1616" s="2" t="str">
        <f t="array" ref="B1616">INDEX(Reference!$C$2:$C$19, MOD(ROW()-2, 18) + 1)</f>
        <v>....Real estate and ownership of dwellings</v>
      </c>
      <c r="C1616" s="1" t="str">
        <f t="shared" si="1"/>
        <v>Sub</v>
      </c>
      <c r="D1616" s="1">
        <f t="shared" si="2"/>
        <v>2024</v>
      </c>
      <c r="E1616" s="1" t="str">
        <f t="shared" si="3"/>
        <v>At Constant 2018 Prices</v>
      </c>
      <c r="F1616" s="3">
        <v>1.8851527E7</v>
      </c>
    </row>
    <row r="1617" ht="15.75" customHeight="1">
      <c r="A1617" s="1" t="str">
        <f t="array" ref="A1617">INDEX(Reference!$A$2:$A$18, INT((ROW()-2)/(18*3*2)) + 1)</f>
        <v>SOCCSKSARGEN</v>
      </c>
      <c r="B1617" s="2" t="str">
        <f t="array" ref="B1617">INDEX(Reference!$C$2:$C$19, MOD(ROW()-2, 18) + 1)</f>
        <v>....Professional and business services</v>
      </c>
      <c r="C1617" s="1" t="str">
        <f t="shared" si="1"/>
        <v>Sub</v>
      </c>
      <c r="D1617" s="1">
        <f t="shared" si="2"/>
        <v>2024</v>
      </c>
      <c r="E1617" s="1" t="str">
        <f t="shared" si="3"/>
        <v>At Constant 2018 Prices</v>
      </c>
      <c r="F1617" s="3">
        <v>1.4263854E7</v>
      </c>
    </row>
    <row r="1618" ht="15.75" customHeight="1">
      <c r="A1618" s="1" t="str">
        <f t="array" ref="A1618">INDEX(Reference!$A$2:$A$18, INT((ROW()-2)/(18*3*2)) + 1)</f>
        <v>SOCCSKSARGEN</v>
      </c>
      <c r="B1618" s="2" t="str">
        <f t="array" ref="B1618">INDEX(Reference!$C$2:$C$19, MOD(ROW()-2, 18) + 1)</f>
        <v>....Public administration and defense; compulsory social activities</v>
      </c>
      <c r="C1618" s="1" t="str">
        <f t="shared" si="1"/>
        <v>Sub</v>
      </c>
      <c r="D1618" s="1">
        <f t="shared" si="2"/>
        <v>2024</v>
      </c>
      <c r="E1618" s="1" t="str">
        <f t="shared" si="3"/>
        <v>At Constant 2018 Prices</v>
      </c>
      <c r="F1618" s="3">
        <v>2.5021803E7</v>
      </c>
    </row>
    <row r="1619" ht="15.75" customHeight="1">
      <c r="A1619" s="1" t="str">
        <f t="array" ref="A1619">INDEX(Reference!$A$2:$A$18, INT((ROW()-2)/(18*3*2)) + 1)</f>
        <v>SOCCSKSARGEN</v>
      </c>
      <c r="B1619" s="2" t="str">
        <f t="array" ref="B1619">INDEX(Reference!$C$2:$C$19, MOD(ROW()-2, 18) + 1)</f>
        <v>....Education</v>
      </c>
      <c r="C1619" s="1" t="str">
        <f t="shared" si="1"/>
        <v>Sub</v>
      </c>
      <c r="D1619" s="1">
        <f t="shared" si="2"/>
        <v>2024</v>
      </c>
      <c r="E1619" s="1" t="str">
        <f t="shared" si="3"/>
        <v>At Constant 2018 Prices</v>
      </c>
      <c r="F1619" s="3">
        <v>3.1439206E7</v>
      </c>
    </row>
    <row r="1620" ht="15.75" customHeight="1">
      <c r="A1620" s="1" t="str">
        <f t="array" ref="A1620">INDEX(Reference!$A$2:$A$18, INT((ROW()-2)/(18*3*2)) + 1)</f>
        <v>SOCCSKSARGEN</v>
      </c>
      <c r="B1620" s="2" t="str">
        <f t="array" ref="B1620">INDEX(Reference!$C$2:$C$19, MOD(ROW()-2, 18) + 1)</f>
        <v>....Human health and social work activities</v>
      </c>
      <c r="C1620" s="1" t="str">
        <f t="shared" si="1"/>
        <v>Sub</v>
      </c>
      <c r="D1620" s="1">
        <f t="shared" si="2"/>
        <v>2024</v>
      </c>
      <c r="E1620" s="1" t="str">
        <f t="shared" si="3"/>
        <v>At Constant 2018 Prices</v>
      </c>
      <c r="F1620" s="3">
        <v>1.0585088E7</v>
      </c>
    </row>
    <row r="1621" ht="15.75" customHeight="1">
      <c r="A1621" s="1" t="str">
        <f t="array" ref="A1621">INDEX(Reference!$A$2:$A$18, INT((ROW()-2)/(18*3*2)) + 1)</f>
        <v>SOCCSKSARGEN</v>
      </c>
      <c r="B1621" s="2" t="str">
        <f t="array" ref="B1621">INDEX(Reference!$C$2:$C$19, MOD(ROW()-2, 18) + 1)</f>
        <v>....Other services</v>
      </c>
      <c r="C1621" s="1" t="str">
        <f t="shared" si="1"/>
        <v>Sub</v>
      </c>
      <c r="D1621" s="1">
        <f t="shared" si="2"/>
        <v>2024</v>
      </c>
      <c r="E1621" s="1" t="str">
        <f t="shared" si="3"/>
        <v>At Constant 2018 Prices</v>
      </c>
      <c r="F1621" s="3">
        <v>4027148.0</v>
      </c>
    </row>
    <row r="1622" ht="15.75" customHeight="1">
      <c r="A1622" s="1" t="str">
        <f t="array" ref="A1622">INDEX(Reference!$A$2:$A$18, INT((ROW()-2)/(18*3*2)) + 1)</f>
        <v>Western Visayas</v>
      </c>
      <c r="B1622" s="2" t="str">
        <f t="array" ref="B1622">INDEX(Reference!$C$2:$C$19, MOD(ROW()-2, 18) + 1)</f>
        <v>..Agriculture, forestry, and fishing</v>
      </c>
      <c r="C1622" s="1" t="str">
        <f t="shared" si="1"/>
        <v>Main</v>
      </c>
      <c r="D1622" s="1">
        <f t="shared" si="2"/>
        <v>2022</v>
      </c>
      <c r="E1622" s="1" t="str">
        <f t="shared" si="3"/>
        <v>At Current Prices</v>
      </c>
      <c r="F1622" s="3">
        <v>1.10814569E8</v>
      </c>
    </row>
    <row r="1623" ht="15.75" customHeight="1">
      <c r="A1623" s="1" t="str">
        <f t="array" ref="A1623">INDEX(Reference!$A$2:$A$18, INT((ROW()-2)/(18*3*2)) + 1)</f>
        <v>Western Visayas</v>
      </c>
      <c r="B1623" s="2" t="str">
        <f t="array" ref="B1623">INDEX(Reference!$C$2:$C$19, MOD(ROW()-2, 18) + 1)</f>
        <v>..Industry</v>
      </c>
      <c r="C1623" s="1" t="str">
        <f t="shared" si="1"/>
        <v>Main</v>
      </c>
      <c r="D1623" s="1">
        <f t="shared" si="2"/>
        <v>2022</v>
      </c>
      <c r="E1623" s="1" t="str">
        <f t="shared" si="3"/>
        <v>At Current Prices</v>
      </c>
      <c r="F1623" s="3">
        <v>1.78645362E8</v>
      </c>
    </row>
    <row r="1624" ht="15.75" customHeight="1">
      <c r="A1624" s="1" t="str">
        <f t="array" ref="A1624">INDEX(Reference!$A$2:$A$18, INT((ROW()-2)/(18*3*2)) + 1)</f>
        <v>Western Visayas</v>
      </c>
      <c r="B1624" s="2" t="str">
        <f t="array" ref="B1624">INDEX(Reference!$C$2:$C$19, MOD(ROW()-2, 18) + 1)</f>
        <v>....Mining and quarrying</v>
      </c>
      <c r="C1624" s="1" t="str">
        <f t="shared" si="1"/>
        <v>Sub</v>
      </c>
      <c r="D1624" s="1">
        <f t="shared" si="2"/>
        <v>2022</v>
      </c>
      <c r="E1624" s="1" t="str">
        <f t="shared" si="3"/>
        <v>At Current Prices</v>
      </c>
      <c r="F1624" s="3">
        <v>7.9764941E7</v>
      </c>
    </row>
    <row r="1625" ht="15.75" customHeight="1">
      <c r="A1625" s="1" t="str">
        <f t="array" ref="A1625">INDEX(Reference!$A$2:$A$18, INT((ROW()-2)/(18*3*2)) + 1)</f>
        <v>Western Visayas</v>
      </c>
      <c r="B1625" s="2" t="str">
        <f t="array" ref="B1625">INDEX(Reference!$C$2:$C$19, MOD(ROW()-2, 18) + 1)</f>
        <v>....Manufacturing</v>
      </c>
      <c r="C1625" s="1" t="str">
        <f t="shared" si="1"/>
        <v>Sub</v>
      </c>
      <c r="D1625" s="1">
        <f t="shared" si="2"/>
        <v>2022</v>
      </c>
      <c r="E1625" s="1" t="str">
        <f t="shared" si="3"/>
        <v>At Current Prices</v>
      </c>
      <c r="F1625" s="3">
        <v>6.1223132E7</v>
      </c>
    </row>
    <row r="1626" ht="15.75" customHeight="1">
      <c r="A1626" s="1" t="str">
        <f t="array" ref="A1626">INDEX(Reference!$A$2:$A$18, INT((ROW()-2)/(18*3*2)) + 1)</f>
        <v>Western Visayas</v>
      </c>
      <c r="B1626" s="2" t="str">
        <f t="array" ref="B1626">INDEX(Reference!$C$2:$C$19, MOD(ROW()-2, 18) + 1)</f>
        <v>....Electricity, steam, water and waste management</v>
      </c>
      <c r="C1626" s="1" t="str">
        <f t="shared" si="1"/>
        <v>Sub</v>
      </c>
      <c r="D1626" s="1">
        <f t="shared" si="2"/>
        <v>2022</v>
      </c>
      <c r="E1626" s="1" t="str">
        <f t="shared" si="3"/>
        <v>At Current Prices</v>
      </c>
      <c r="F1626" s="3">
        <v>1.0520439E7</v>
      </c>
    </row>
    <row r="1627" ht="15.75" customHeight="1">
      <c r="A1627" s="1" t="str">
        <f t="array" ref="A1627">INDEX(Reference!$A$2:$A$18, INT((ROW()-2)/(18*3*2)) + 1)</f>
        <v>Western Visayas</v>
      </c>
      <c r="B1627" s="2" t="str">
        <f t="array" ref="B1627">INDEX(Reference!$C$2:$C$19, MOD(ROW()-2, 18) + 1)</f>
        <v>....Construction</v>
      </c>
      <c r="C1627" s="1" t="str">
        <f t="shared" si="1"/>
        <v>Sub</v>
      </c>
      <c r="D1627" s="1">
        <f t="shared" si="2"/>
        <v>2022</v>
      </c>
      <c r="E1627" s="1" t="str">
        <f t="shared" si="3"/>
        <v>At Current Prices</v>
      </c>
      <c r="F1627" s="3">
        <v>2.713685E7</v>
      </c>
    </row>
    <row r="1628" ht="15.75" customHeight="1">
      <c r="A1628" s="1" t="str">
        <f t="array" ref="A1628">INDEX(Reference!$A$2:$A$18, INT((ROW()-2)/(18*3*2)) + 1)</f>
        <v>Western Visayas</v>
      </c>
      <c r="B1628" s="2" t="str">
        <f t="array" ref="B1628">INDEX(Reference!$C$2:$C$19, MOD(ROW()-2, 18) + 1)</f>
        <v>..Services</v>
      </c>
      <c r="C1628" s="1" t="str">
        <f t="shared" si="1"/>
        <v>Main</v>
      </c>
      <c r="D1628" s="1">
        <f t="shared" si="2"/>
        <v>2022</v>
      </c>
      <c r="E1628" s="1" t="str">
        <f t="shared" si="3"/>
        <v>At Current Prices</v>
      </c>
      <c r="F1628" s="3">
        <v>4.02008199E8</v>
      </c>
    </row>
    <row r="1629" ht="15.75" customHeight="1">
      <c r="A1629" s="1" t="str">
        <f t="array" ref="A1629">INDEX(Reference!$A$2:$A$18, INT((ROW()-2)/(18*3*2)) + 1)</f>
        <v>Western Visayas</v>
      </c>
      <c r="B1629" s="2" t="str">
        <f t="array" ref="B1629">INDEX(Reference!$C$2:$C$19, MOD(ROW()-2, 18) + 1)</f>
        <v>....Wholesale and retail trade; repair of motor vehicles and motorcycles</v>
      </c>
      <c r="C1629" s="1" t="str">
        <f t="shared" si="1"/>
        <v>Sub</v>
      </c>
      <c r="D1629" s="1">
        <f t="shared" si="2"/>
        <v>2022</v>
      </c>
      <c r="E1629" s="1" t="str">
        <f t="shared" si="3"/>
        <v>At Current Prices</v>
      </c>
      <c r="F1629" s="3">
        <v>1.26173961E8</v>
      </c>
    </row>
    <row r="1630" ht="15.75" customHeight="1">
      <c r="A1630" s="1" t="str">
        <f t="array" ref="A1630">INDEX(Reference!$A$2:$A$18, INT((ROW()-2)/(18*3*2)) + 1)</f>
        <v>Western Visayas</v>
      </c>
      <c r="B1630" s="2" t="str">
        <f t="array" ref="B1630">INDEX(Reference!$C$2:$C$19, MOD(ROW()-2, 18) + 1)</f>
        <v>....Transportation and storage</v>
      </c>
      <c r="C1630" s="1" t="str">
        <f t="shared" si="1"/>
        <v>Sub</v>
      </c>
      <c r="D1630" s="1">
        <f t="shared" si="2"/>
        <v>2022</v>
      </c>
      <c r="E1630" s="1" t="str">
        <f t="shared" si="3"/>
        <v>At Current Prices</v>
      </c>
      <c r="F1630" s="3">
        <v>5.6510458E7</v>
      </c>
    </row>
    <row r="1631" ht="15.75" customHeight="1">
      <c r="A1631" s="1" t="str">
        <f t="array" ref="A1631">INDEX(Reference!$A$2:$A$18, INT((ROW()-2)/(18*3*2)) + 1)</f>
        <v>Western Visayas</v>
      </c>
      <c r="B1631" s="2" t="str">
        <f t="array" ref="B1631">INDEX(Reference!$C$2:$C$19, MOD(ROW()-2, 18) + 1)</f>
        <v>....Accommodation and food service activities</v>
      </c>
      <c r="C1631" s="1" t="str">
        <f t="shared" si="1"/>
        <v>Sub</v>
      </c>
      <c r="D1631" s="1">
        <f t="shared" si="2"/>
        <v>2022</v>
      </c>
      <c r="E1631" s="1" t="str">
        <f t="shared" si="3"/>
        <v>At Current Prices</v>
      </c>
      <c r="F1631" s="3">
        <v>1.3235243E7</v>
      </c>
    </row>
    <row r="1632" ht="15.75" customHeight="1">
      <c r="A1632" s="1" t="str">
        <f t="array" ref="A1632">INDEX(Reference!$A$2:$A$18, INT((ROW()-2)/(18*3*2)) + 1)</f>
        <v>Western Visayas</v>
      </c>
      <c r="B1632" s="2" t="str">
        <f t="array" ref="B1632">INDEX(Reference!$C$2:$C$19, MOD(ROW()-2, 18) + 1)</f>
        <v>....Information and communication</v>
      </c>
      <c r="C1632" s="1" t="str">
        <f t="shared" si="1"/>
        <v>Sub</v>
      </c>
      <c r="D1632" s="1">
        <f t="shared" si="2"/>
        <v>2022</v>
      </c>
      <c r="E1632" s="1" t="str">
        <f t="shared" si="3"/>
        <v>At Current Prices</v>
      </c>
      <c r="F1632" s="3">
        <v>2.2264242E7</v>
      </c>
    </row>
    <row r="1633" ht="15.75" customHeight="1">
      <c r="A1633" s="1" t="str">
        <f t="array" ref="A1633">INDEX(Reference!$A$2:$A$18, INT((ROW()-2)/(18*3*2)) + 1)</f>
        <v>Western Visayas</v>
      </c>
      <c r="B1633" s="2" t="str">
        <f t="array" ref="B1633">INDEX(Reference!$C$2:$C$19, MOD(ROW()-2, 18) + 1)</f>
        <v>....Financial and insurance activities</v>
      </c>
      <c r="C1633" s="1" t="str">
        <f t="shared" si="1"/>
        <v>Sub</v>
      </c>
      <c r="D1633" s="1">
        <f t="shared" si="2"/>
        <v>2022</v>
      </c>
      <c r="E1633" s="1" t="str">
        <f t="shared" si="3"/>
        <v>At Current Prices</v>
      </c>
      <c r="F1633" s="3">
        <v>4.7851645E7</v>
      </c>
    </row>
    <row r="1634" ht="15.75" customHeight="1">
      <c r="A1634" s="1" t="str">
        <f t="array" ref="A1634">INDEX(Reference!$A$2:$A$18, INT((ROW()-2)/(18*3*2)) + 1)</f>
        <v>Western Visayas</v>
      </c>
      <c r="B1634" s="2" t="str">
        <f t="array" ref="B1634">INDEX(Reference!$C$2:$C$19, MOD(ROW()-2, 18) + 1)</f>
        <v>....Real estate and ownership of dwellings</v>
      </c>
      <c r="C1634" s="1" t="str">
        <f t="shared" si="1"/>
        <v>Sub</v>
      </c>
      <c r="D1634" s="1">
        <f t="shared" si="2"/>
        <v>2022</v>
      </c>
      <c r="E1634" s="1" t="str">
        <f t="shared" si="3"/>
        <v>At Current Prices</v>
      </c>
      <c r="F1634" s="3">
        <v>2.4520243E7</v>
      </c>
    </row>
    <row r="1635" ht="15.75" customHeight="1">
      <c r="A1635" s="1" t="str">
        <f t="array" ref="A1635">INDEX(Reference!$A$2:$A$18, INT((ROW()-2)/(18*3*2)) + 1)</f>
        <v>Western Visayas</v>
      </c>
      <c r="B1635" s="2" t="str">
        <f t="array" ref="B1635">INDEX(Reference!$C$2:$C$19, MOD(ROW()-2, 18) + 1)</f>
        <v>....Professional and business services</v>
      </c>
      <c r="C1635" s="1" t="str">
        <f t="shared" si="1"/>
        <v>Sub</v>
      </c>
      <c r="D1635" s="1">
        <f t="shared" si="2"/>
        <v>2022</v>
      </c>
      <c r="E1635" s="1" t="str">
        <f t="shared" si="3"/>
        <v>At Current Prices</v>
      </c>
      <c r="F1635" s="3">
        <v>1.526495E7</v>
      </c>
    </row>
    <row r="1636" ht="15.75" customHeight="1">
      <c r="A1636" s="1" t="str">
        <f t="array" ref="A1636">INDEX(Reference!$A$2:$A$18, INT((ROW()-2)/(18*3*2)) + 1)</f>
        <v>Western Visayas</v>
      </c>
      <c r="B1636" s="2" t="str">
        <f t="array" ref="B1636">INDEX(Reference!$C$2:$C$19, MOD(ROW()-2, 18) + 1)</f>
        <v>....Public administration and defense; compulsory social activities</v>
      </c>
      <c r="C1636" s="1" t="str">
        <f t="shared" si="1"/>
        <v>Sub</v>
      </c>
      <c r="D1636" s="1">
        <f t="shared" si="2"/>
        <v>2022</v>
      </c>
      <c r="E1636" s="1" t="str">
        <f t="shared" si="3"/>
        <v>At Current Prices</v>
      </c>
      <c r="F1636" s="3">
        <v>2.6133299E7</v>
      </c>
    </row>
    <row r="1637" ht="15.75" customHeight="1">
      <c r="A1637" s="1" t="str">
        <f t="array" ref="A1637">INDEX(Reference!$A$2:$A$18, INT((ROW()-2)/(18*3*2)) + 1)</f>
        <v>Western Visayas</v>
      </c>
      <c r="B1637" s="2" t="str">
        <f t="array" ref="B1637">INDEX(Reference!$C$2:$C$19, MOD(ROW()-2, 18) + 1)</f>
        <v>....Education</v>
      </c>
      <c r="C1637" s="1" t="str">
        <f t="shared" si="1"/>
        <v>Sub</v>
      </c>
      <c r="D1637" s="1">
        <f t="shared" si="2"/>
        <v>2022</v>
      </c>
      <c r="E1637" s="1" t="str">
        <f t="shared" si="3"/>
        <v>At Current Prices</v>
      </c>
      <c r="F1637" s="3">
        <v>4.1777624E7</v>
      </c>
    </row>
    <row r="1638" ht="15.75" customHeight="1">
      <c r="A1638" s="1" t="str">
        <f t="array" ref="A1638">INDEX(Reference!$A$2:$A$18, INT((ROW()-2)/(18*3*2)) + 1)</f>
        <v>Western Visayas</v>
      </c>
      <c r="B1638" s="2" t="str">
        <f t="array" ref="B1638">INDEX(Reference!$C$2:$C$19, MOD(ROW()-2, 18) + 1)</f>
        <v>....Human health and social work activities</v>
      </c>
      <c r="C1638" s="1" t="str">
        <f t="shared" si="1"/>
        <v>Sub</v>
      </c>
      <c r="D1638" s="1">
        <f t="shared" si="2"/>
        <v>2022</v>
      </c>
      <c r="E1638" s="1" t="str">
        <f t="shared" si="3"/>
        <v>At Current Prices</v>
      </c>
      <c r="F1638" s="3">
        <v>1.4091012E7</v>
      </c>
    </row>
    <row r="1639" ht="15.75" customHeight="1">
      <c r="A1639" s="1" t="str">
        <f t="array" ref="A1639">INDEX(Reference!$A$2:$A$18, INT((ROW()-2)/(18*3*2)) + 1)</f>
        <v>Western Visayas</v>
      </c>
      <c r="B1639" s="2" t="str">
        <f t="array" ref="B1639">INDEX(Reference!$C$2:$C$19, MOD(ROW()-2, 18) + 1)</f>
        <v>....Other services</v>
      </c>
      <c r="C1639" s="1" t="str">
        <f t="shared" si="1"/>
        <v>Sub</v>
      </c>
      <c r="D1639" s="1">
        <f t="shared" si="2"/>
        <v>2022</v>
      </c>
      <c r="E1639" s="1" t="str">
        <f t="shared" si="3"/>
        <v>At Current Prices</v>
      </c>
      <c r="F1639" s="3">
        <v>1.4185523E7</v>
      </c>
    </row>
    <row r="1640" ht="15.75" customHeight="1">
      <c r="A1640" s="1" t="str">
        <f t="array" ref="A1640">INDEX(Reference!$A$2:$A$18, INT((ROW()-2)/(18*3*2)) + 1)</f>
        <v>Western Visayas</v>
      </c>
      <c r="B1640" s="2" t="str">
        <f t="array" ref="B1640">INDEX(Reference!$C$2:$C$19, MOD(ROW()-2, 18) + 1)</f>
        <v>..Agriculture, forestry, and fishing</v>
      </c>
      <c r="C1640" s="1" t="str">
        <f t="shared" si="1"/>
        <v>Main</v>
      </c>
      <c r="D1640" s="1">
        <f t="shared" si="2"/>
        <v>2023</v>
      </c>
      <c r="E1640" s="1" t="str">
        <f t="shared" si="3"/>
        <v>At Current Prices</v>
      </c>
      <c r="F1640" s="3">
        <v>1.09175848E8</v>
      </c>
    </row>
    <row r="1641" ht="15.75" customHeight="1">
      <c r="A1641" s="1" t="str">
        <f t="array" ref="A1641">INDEX(Reference!$A$2:$A$18, INT((ROW()-2)/(18*3*2)) + 1)</f>
        <v>Western Visayas</v>
      </c>
      <c r="B1641" s="2" t="str">
        <f t="array" ref="B1641">INDEX(Reference!$C$2:$C$19, MOD(ROW()-2, 18) + 1)</f>
        <v>..Industry</v>
      </c>
      <c r="C1641" s="1" t="str">
        <f t="shared" si="1"/>
        <v>Main</v>
      </c>
      <c r="D1641" s="1">
        <f t="shared" si="2"/>
        <v>2023</v>
      </c>
      <c r="E1641" s="1" t="str">
        <f t="shared" si="3"/>
        <v>At Current Prices</v>
      </c>
      <c r="F1641" s="3">
        <v>1.58182995E8</v>
      </c>
    </row>
    <row r="1642" ht="15.75" customHeight="1">
      <c r="A1642" s="1" t="str">
        <f t="array" ref="A1642">INDEX(Reference!$A$2:$A$18, INT((ROW()-2)/(18*3*2)) + 1)</f>
        <v>Western Visayas</v>
      </c>
      <c r="B1642" s="2" t="str">
        <f t="array" ref="B1642">INDEX(Reference!$C$2:$C$19, MOD(ROW()-2, 18) + 1)</f>
        <v>....Mining and quarrying</v>
      </c>
      <c r="C1642" s="1" t="str">
        <f t="shared" si="1"/>
        <v>Sub</v>
      </c>
      <c r="D1642" s="1">
        <f t="shared" si="2"/>
        <v>2023</v>
      </c>
      <c r="E1642" s="1" t="str">
        <f t="shared" si="3"/>
        <v>At Current Prices</v>
      </c>
      <c r="F1642" s="3">
        <v>4.5938479E7</v>
      </c>
    </row>
    <row r="1643" ht="15.75" customHeight="1">
      <c r="A1643" s="1" t="str">
        <f t="array" ref="A1643">INDEX(Reference!$A$2:$A$18, INT((ROW()-2)/(18*3*2)) + 1)</f>
        <v>Western Visayas</v>
      </c>
      <c r="B1643" s="2" t="str">
        <f t="array" ref="B1643">INDEX(Reference!$C$2:$C$19, MOD(ROW()-2, 18) + 1)</f>
        <v>....Manufacturing</v>
      </c>
      <c r="C1643" s="1" t="str">
        <f t="shared" si="1"/>
        <v>Sub</v>
      </c>
      <c r="D1643" s="1">
        <f t="shared" si="2"/>
        <v>2023</v>
      </c>
      <c r="E1643" s="1" t="str">
        <f t="shared" si="3"/>
        <v>At Current Prices</v>
      </c>
      <c r="F1643" s="3">
        <v>6.6920019E7</v>
      </c>
    </row>
    <row r="1644" ht="15.75" customHeight="1">
      <c r="A1644" s="1" t="str">
        <f t="array" ref="A1644">INDEX(Reference!$A$2:$A$18, INT((ROW()-2)/(18*3*2)) + 1)</f>
        <v>Western Visayas</v>
      </c>
      <c r="B1644" s="2" t="str">
        <f t="array" ref="B1644">INDEX(Reference!$C$2:$C$19, MOD(ROW()-2, 18) + 1)</f>
        <v>....Electricity, steam, water and waste management</v>
      </c>
      <c r="C1644" s="1" t="str">
        <f t="shared" si="1"/>
        <v>Sub</v>
      </c>
      <c r="D1644" s="1">
        <f t="shared" si="2"/>
        <v>2023</v>
      </c>
      <c r="E1644" s="1" t="str">
        <f t="shared" si="3"/>
        <v>At Current Prices</v>
      </c>
      <c r="F1644" s="3">
        <v>1.2515194E7</v>
      </c>
    </row>
    <row r="1645" ht="15.75" customHeight="1">
      <c r="A1645" s="1" t="str">
        <f t="array" ref="A1645">INDEX(Reference!$A$2:$A$18, INT((ROW()-2)/(18*3*2)) + 1)</f>
        <v>Western Visayas</v>
      </c>
      <c r="B1645" s="2" t="str">
        <f t="array" ref="B1645">INDEX(Reference!$C$2:$C$19, MOD(ROW()-2, 18) + 1)</f>
        <v>....Construction</v>
      </c>
      <c r="C1645" s="1" t="str">
        <f t="shared" si="1"/>
        <v>Sub</v>
      </c>
      <c r="D1645" s="1">
        <f t="shared" si="2"/>
        <v>2023</v>
      </c>
      <c r="E1645" s="1" t="str">
        <f t="shared" si="3"/>
        <v>At Current Prices</v>
      </c>
      <c r="F1645" s="3">
        <v>3.2809304E7</v>
      </c>
    </row>
    <row r="1646" ht="15.75" customHeight="1">
      <c r="A1646" s="1" t="str">
        <f t="array" ref="A1646">INDEX(Reference!$A$2:$A$18, INT((ROW()-2)/(18*3*2)) + 1)</f>
        <v>Western Visayas</v>
      </c>
      <c r="B1646" s="2" t="str">
        <f t="array" ref="B1646">INDEX(Reference!$C$2:$C$19, MOD(ROW()-2, 18) + 1)</f>
        <v>..Services</v>
      </c>
      <c r="C1646" s="1" t="str">
        <f t="shared" si="1"/>
        <v>Main</v>
      </c>
      <c r="D1646" s="1">
        <f t="shared" si="2"/>
        <v>2023</v>
      </c>
      <c r="E1646" s="1" t="str">
        <f t="shared" si="3"/>
        <v>At Current Prices</v>
      </c>
      <c r="F1646" s="3">
        <v>4.6944044E8</v>
      </c>
    </row>
    <row r="1647" ht="15.75" customHeight="1">
      <c r="A1647" s="1" t="str">
        <f t="array" ref="A1647">INDEX(Reference!$A$2:$A$18, INT((ROW()-2)/(18*3*2)) + 1)</f>
        <v>Western Visayas</v>
      </c>
      <c r="B1647" s="2" t="str">
        <f t="array" ref="B1647">INDEX(Reference!$C$2:$C$19, MOD(ROW()-2, 18) + 1)</f>
        <v>....Wholesale and retail trade; repair of motor vehicles and motorcycles</v>
      </c>
      <c r="C1647" s="1" t="str">
        <f t="shared" si="1"/>
        <v>Sub</v>
      </c>
      <c r="D1647" s="1">
        <f t="shared" si="2"/>
        <v>2023</v>
      </c>
      <c r="E1647" s="1" t="str">
        <f t="shared" si="3"/>
        <v>At Current Prices</v>
      </c>
      <c r="F1647" s="3">
        <v>1.43566631E8</v>
      </c>
    </row>
    <row r="1648" ht="15.75" customHeight="1">
      <c r="A1648" s="1" t="str">
        <f t="array" ref="A1648">INDEX(Reference!$A$2:$A$18, INT((ROW()-2)/(18*3*2)) + 1)</f>
        <v>Western Visayas</v>
      </c>
      <c r="B1648" s="2" t="str">
        <f t="array" ref="B1648">INDEX(Reference!$C$2:$C$19, MOD(ROW()-2, 18) + 1)</f>
        <v>....Transportation and storage</v>
      </c>
      <c r="C1648" s="1" t="str">
        <f t="shared" si="1"/>
        <v>Sub</v>
      </c>
      <c r="D1648" s="1">
        <f t="shared" si="2"/>
        <v>2023</v>
      </c>
      <c r="E1648" s="1" t="str">
        <f t="shared" si="3"/>
        <v>At Current Prices</v>
      </c>
      <c r="F1648" s="3">
        <v>7.1357462E7</v>
      </c>
    </row>
    <row r="1649" ht="15.75" customHeight="1">
      <c r="A1649" s="1" t="str">
        <f t="array" ref="A1649">INDEX(Reference!$A$2:$A$18, INT((ROW()-2)/(18*3*2)) + 1)</f>
        <v>Western Visayas</v>
      </c>
      <c r="B1649" s="2" t="str">
        <f t="array" ref="B1649">INDEX(Reference!$C$2:$C$19, MOD(ROW()-2, 18) + 1)</f>
        <v>....Accommodation and food service activities</v>
      </c>
      <c r="C1649" s="1" t="str">
        <f t="shared" si="1"/>
        <v>Sub</v>
      </c>
      <c r="D1649" s="1">
        <f t="shared" si="2"/>
        <v>2023</v>
      </c>
      <c r="E1649" s="1" t="str">
        <f t="shared" si="3"/>
        <v>At Current Prices</v>
      </c>
      <c r="F1649" s="3">
        <v>1.9416756E7</v>
      </c>
    </row>
    <row r="1650" ht="15.75" customHeight="1">
      <c r="A1650" s="1" t="str">
        <f t="array" ref="A1650">INDEX(Reference!$A$2:$A$18, INT((ROW()-2)/(18*3*2)) + 1)</f>
        <v>Western Visayas</v>
      </c>
      <c r="B1650" s="2" t="str">
        <f t="array" ref="B1650">INDEX(Reference!$C$2:$C$19, MOD(ROW()-2, 18) + 1)</f>
        <v>....Information and communication</v>
      </c>
      <c r="C1650" s="1" t="str">
        <f t="shared" si="1"/>
        <v>Sub</v>
      </c>
      <c r="D1650" s="1">
        <f t="shared" si="2"/>
        <v>2023</v>
      </c>
      <c r="E1650" s="1" t="str">
        <f t="shared" si="3"/>
        <v>At Current Prices</v>
      </c>
      <c r="F1650" s="3">
        <v>2.3616694E7</v>
      </c>
    </row>
    <row r="1651" ht="15.75" customHeight="1">
      <c r="A1651" s="1" t="str">
        <f t="array" ref="A1651">INDEX(Reference!$A$2:$A$18, INT((ROW()-2)/(18*3*2)) + 1)</f>
        <v>Western Visayas</v>
      </c>
      <c r="B1651" s="2" t="str">
        <f t="array" ref="B1651">INDEX(Reference!$C$2:$C$19, MOD(ROW()-2, 18) + 1)</f>
        <v>....Financial and insurance activities</v>
      </c>
      <c r="C1651" s="1" t="str">
        <f t="shared" si="1"/>
        <v>Sub</v>
      </c>
      <c r="D1651" s="1">
        <f t="shared" si="2"/>
        <v>2023</v>
      </c>
      <c r="E1651" s="1" t="str">
        <f t="shared" si="3"/>
        <v>At Current Prices</v>
      </c>
      <c r="F1651" s="3">
        <v>5.6683846E7</v>
      </c>
    </row>
    <row r="1652" ht="15.75" customHeight="1">
      <c r="A1652" s="1" t="str">
        <f t="array" ref="A1652">INDEX(Reference!$A$2:$A$18, INT((ROW()-2)/(18*3*2)) + 1)</f>
        <v>Western Visayas</v>
      </c>
      <c r="B1652" s="2" t="str">
        <f t="array" ref="B1652">INDEX(Reference!$C$2:$C$19, MOD(ROW()-2, 18) + 1)</f>
        <v>....Real estate and ownership of dwellings</v>
      </c>
      <c r="C1652" s="1" t="str">
        <f t="shared" si="1"/>
        <v>Sub</v>
      </c>
      <c r="D1652" s="1">
        <f t="shared" si="2"/>
        <v>2023</v>
      </c>
      <c r="E1652" s="1" t="str">
        <f t="shared" si="3"/>
        <v>At Current Prices</v>
      </c>
      <c r="F1652" s="3">
        <v>2.6536401E7</v>
      </c>
    </row>
    <row r="1653" ht="15.75" customHeight="1">
      <c r="A1653" s="1" t="str">
        <f t="array" ref="A1653">INDEX(Reference!$A$2:$A$18, INT((ROW()-2)/(18*3*2)) + 1)</f>
        <v>Western Visayas</v>
      </c>
      <c r="B1653" s="2" t="str">
        <f t="array" ref="B1653">INDEX(Reference!$C$2:$C$19, MOD(ROW()-2, 18) + 1)</f>
        <v>....Professional and business services</v>
      </c>
      <c r="C1653" s="1" t="str">
        <f t="shared" si="1"/>
        <v>Sub</v>
      </c>
      <c r="D1653" s="1">
        <f t="shared" si="2"/>
        <v>2023</v>
      </c>
      <c r="E1653" s="1" t="str">
        <f t="shared" si="3"/>
        <v>At Current Prices</v>
      </c>
      <c r="F1653" s="3">
        <v>1.7385607E7</v>
      </c>
    </row>
    <row r="1654" ht="15.75" customHeight="1">
      <c r="A1654" s="1" t="str">
        <f t="array" ref="A1654">INDEX(Reference!$A$2:$A$18, INT((ROW()-2)/(18*3*2)) + 1)</f>
        <v>Western Visayas</v>
      </c>
      <c r="B1654" s="2" t="str">
        <f t="array" ref="B1654">INDEX(Reference!$C$2:$C$19, MOD(ROW()-2, 18) + 1)</f>
        <v>....Public administration and defense; compulsory social activities</v>
      </c>
      <c r="C1654" s="1" t="str">
        <f t="shared" si="1"/>
        <v>Sub</v>
      </c>
      <c r="D1654" s="1">
        <f t="shared" si="2"/>
        <v>2023</v>
      </c>
      <c r="E1654" s="1" t="str">
        <f t="shared" si="3"/>
        <v>At Current Prices</v>
      </c>
      <c r="F1654" s="3">
        <v>3.0201015E7</v>
      </c>
    </row>
    <row r="1655" ht="15.75" customHeight="1">
      <c r="A1655" s="1" t="str">
        <f t="array" ref="A1655">INDEX(Reference!$A$2:$A$18, INT((ROW()-2)/(18*3*2)) + 1)</f>
        <v>Western Visayas</v>
      </c>
      <c r="B1655" s="2" t="str">
        <f t="array" ref="B1655">INDEX(Reference!$C$2:$C$19, MOD(ROW()-2, 18) + 1)</f>
        <v>....Education</v>
      </c>
      <c r="C1655" s="1" t="str">
        <f t="shared" si="1"/>
        <v>Sub</v>
      </c>
      <c r="D1655" s="1">
        <f t="shared" si="2"/>
        <v>2023</v>
      </c>
      <c r="E1655" s="1" t="str">
        <f t="shared" si="3"/>
        <v>At Current Prices</v>
      </c>
      <c r="F1655" s="3">
        <v>4.574645E7</v>
      </c>
    </row>
    <row r="1656" ht="15.75" customHeight="1">
      <c r="A1656" s="1" t="str">
        <f t="array" ref="A1656">INDEX(Reference!$A$2:$A$18, INT((ROW()-2)/(18*3*2)) + 1)</f>
        <v>Western Visayas</v>
      </c>
      <c r="B1656" s="2" t="str">
        <f t="array" ref="B1656">INDEX(Reference!$C$2:$C$19, MOD(ROW()-2, 18) + 1)</f>
        <v>....Human health and social work activities</v>
      </c>
      <c r="C1656" s="1" t="str">
        <f t="shared" si="1"/>
        <v>Sub</v>
      </c>
      <c r="D1656" s="1">
        <f t="shared" si="2"/>
        <v>2023</v>
      </c>
      <c r="E1656" s="1" t="str">
        <f t="shared" si="3"/>
        <v>At Current Prices</v>
      </c>
      <c r="F1656" s="3">
        <v>1.5878555E7</v>
      </c>
    </row>
    <row r="1657" ht="15.75" customHeight="1">
      <c r="A1657" s="1" t="str">
        <f t="array" ref="A1657">INDEX(Reference!$A$2:$A$18, INT((ROW()-2)/(18*3*2)) + 1)</f>
        <v>Western Visayas</v>
      </c>
      <c r="B1657" s="2" t="str">
        <f t="array" ref="B1657">INDEX(Reference!$C$2:$C$19, MOD(ROW()-2, 18) + 1)</f>
        <v>....Other services</v>
      </c>
      <c r="C1657" s="1" t="str">
        <f t="shared" si="1"/>
        <v>Sub</v>
      </c>
      <c r="D1657" s="1">
        <f t="shared" si="2"/>
        <v>2023</v>
      </c>
      <c r="E1657" s="1" t="str">
        <f t="shared" si="3"/>
        <v>At Current Prices</v>
      </c>
      <c r="F1657" s="3">
        <v>1.9051024E7</v>
      </c>
    </row>
    <row r="1658" ht="15.75" customHeight="1">
      <c r="A1658" s="1" t="str">
        <f t="array" ref="A1658">INDEX(Reference!$A$2:$A$18, INT((ROW()-2)/(18*3*2)) + 1)</f>
        <v>Western Visayas</v>
      </c>
      <c r="B1658" s="2" t="str">
        <f t="array" ref="B1658">INDEX(Reference!$C$2:$C$19, MOD(ROW()-2, 18) + 1)</f>
        <v>..Agriculture, forestry, and fishing</v>
      </c>
      <c r="C1658" s="1" t="str">
        <f t="shared" si="1"/>
        <v>Main</v>
      </c>
      <c r="D1658" s="1">
        <f t="shared" si="2"/>
        <v>2024</v>
      </c>
      <c r="E1658" s="1" t="str">
        <f t="shared" si="3"/>
        <v>At Current Prices</v>
      </c>
      <c r="F1658" s="3">
        <v>1.14782312E8</v>
      </c>
    </row>
    <row r="1659" ht="15.75" customHeight="1">
      <c r="A1659" s="1" t="str">
        <f t="array" ref="A1659">INDEX(Reference!$A$2:$A$18, INT((ROW()-2)/(18*3*2)) + 1)</f>
        <v>Western Visayas</v>
      </c>
      <c r="B1659" s="2" t="str">
        <f t="array" ref="B1659">INDEX(Reference!$C$2:$C$19, MOD(ROW()-2, 18) + 1)</f>
        <v>..Industry</v>
      </c>
      <c r="C1659" s="1" t="str">
        <f t="shared" si="1"/>
        <v>Main</v>
      </c>
      <c r="D1659" s="1">
        <f t="shared" si="2"/>
        <v>2024</v>
      </c>
      <c r="E1659" s="1" t="str">
        <f t="shared" si="3"/>
        <v>At Current Prices</v>
      </c>
      <c r="F1659" s="3">
        <v>1.60403054E8</v>
      </c>
    </row>
    <row r="1660" ht="15.75" customHeight="1">
      <c r="A1660" s="1" t="str">
        <f t="array" ref="A1660">INDEX(Reference!$A$2:$A$18, INT((ROW()-2)/(18*3*2)) + 1)</f>
        <v>Western Visayas</v>
      </c>
      <c r="B1660" s="2" t="str">
        <f t="array" ref="B1660">INDEX(Reference!$C$2:$C$19, MOD(ROW()-2, 18) + 1)</f>
        <v>....Mining and quarrying</v>
      </c>
      <c r="C1660" s="1" t="str">
        <f t="shared" si="1"/>
        <v>Sub</v>
      </c>
      <c r="D1660" s="1">
        <f t="shared" si="2"/>
        <v>2024</v>
      </c>
      <c r="E1660" s="1" t="str">
        <f t="shared" si="3"/>
        <v>At Current Prices</v>
      </c>
      <c r="F1660" s="3">
        <v>4.1829235E7</v>
      </c>
    </row>
    <row r="1661" ht="15.75" customHeight="1">
      <c r="A1661" s="1" t="str">
        <f t="array" ref="A1661">INDEX(Reference!$A$2:$A$18, INT((ROW()-2)/(18*3*2)) + 1)</f>
        <v>Western Visayas</v>
      </c>
      <c r="B1661" s="2" t="str">
        <f t="array" ref="B1661">INDEX(Reference!$C$2:$C$19, MOD(ROW()-2, 18) + 1)</f>
        <v>....Manufacturing</v>
      </c>
      <c r="C1661" s="1" t="str">
        <f t="shared" si="1"/>
        <v>Sub</v>
      </c>
      <c r="D1661" s="1">
        <f t="shared" si="2"/>
        <v>2024</v>
      </c>
      <c r="E1661" s="1" t="str">
        <f t="shared" si="3"/>
        <v>At Current Prices</v>
      </c>
      <c r="F1661" s="3">
        <v>7.0001242E7</v>
      </c>
    </row>
    <row r="1662" ht="15.75" customHeight="1">
      <c r="A1662" s="1" t="str">
        <f t="array" ref="A1662">INDEX(Reference!$A$2:$A$18, INT((ROW()-2)/(18*3*2)) + 1)</f>
        <v>Western Visayas</v>
      </c>
      <c r="B1662" s="2" t="str">
        <f t="array" ref="B1662">INDEX(Reference!$C$2:$C$19, MOD(ROW()-2, 18) + 1)</f>
        <v>....Electricity, steam, water and waste management</v>
      </c>
      <c r="C1662" s="1" t="str">
        <f t="shared" si="1"/>
        <v>Sub</v>
      </c>
      <c r="D1662" s="1">
        <f t="shared" si="2"/>
        <v>2024</v>
      </c>
      <c r="E1662" s="1" t="str">
        <f t="shared" si="3"/>
        <v>At Current Prices</v>
      </c>
      <c r="F1662" s="3">
        <v>1.4136194E7</v>
      </c>
    </row>
    <row r="1663" ht="15.75" customHeight="1">
      <c r="A1663" s="1" t="str">
        <f t="array" ref="A1663">INDEX(Reference!$A$2:$A$18, INT((ROW()-2)/(18*3*2)) + 1)</f>
        <v>Western Visayas</v>
      </c>
      <c r="B1663" s="2" t="str">
        <f t="array" ref="B1663">INDEX(Reference!$C$2:$C$19, MOD(ROW()-2, 18) + 1)</f>
        <v>....Construction</v>
      </c>
      <c r="C1663" s="1" t="str">
        <f t="shared" si="1"/>
        <v>Sub</v>
      </c>
      <c r="D1663" s="1">
        <f t="shared" si="2"/>
        <v>2024</v>
      </c>
      <c r="E1663" s="1" t="str">
        <f t="shared" si="3"/>
        <v>At Current Prices</v>
      </c>
      <c r="F1663" s="3">
        <v>3.4436383E7</v>
      </c>
    </row>
    <row r="1664" ht="15.75" customHeight="1">
      <c r="A1664" s="1" t="str">
        <f t="array" ref="A1664">INDEX(Reference!$A$2:$A$18, INT((ROW()-2)/(18*3*2)) + 1)</f>
        <v>Western Visayas</v>
      </c>
      <c r="B1664" s="2" t="str">
        <f t="array" ref="B1664">INDEX(Reference!$C$2:$C$19, MOD(ROW()-2, 18) + 1)</f>
        <v>..Services</v>
      </c>
      <c r="C1664" s="1" t="str">
        <f t="shared" si="1"/>
        <v>Main</v>
      </c>
      <c r="D1664" s="1">
        <f t="shared" si="2"/>
        <v>2024</v>
      </c>
      <c r="E1664" s="1" t="str">
        <f t="shared" si="3"/>
        <v>At Current Prices</v>
      </c>
      <c r="F1664" s="3">
        <v>5.21855481E8</v>
      </c>
    </row>
    <row r="1665" ht="15.75" customHeight="1">
      <c r="A1665" s="1" t="str">
        <f t="array" ref="A1665">INDEX(Reference!$A$2:$A$18, INT((ROW()-2)/(18*3*2)) + 1)</f>
        <v>Western Visayas</v>
      </c>
      <c r="B1665" s="2" t="str">
        <f t="array" ref="B1665">INDEX(Reference!$C$2:$C$19, MOD(ROW()-2, 18) + 1)</f>
        <v>....Wholesale and retail trade; repair of motor vehicles and motorcycles</v>
      </c>
      <c r="C1665" s="1" t="str">
        <f t="shared" si="1"/>
        <v>Sub</v>
      </c>
      <c r="D1665" s="1">
        <f t="shared" si="2"/>
        <v>2024</v>
      </c>
      <c r="E1665" s="1" t="str">
        <f t="shared" si="3"/>
        <v>At Current Prices</v>
      </c>
      <c r="F1665" s="3">
        <v>1.60875462E8</v>
      </c>
    </row>
    <row r="1666" ht="15.75" customHeight="1">
      <c r="A1666" s="1" t="str">
        <f t="array" ref="A1666">INDEX(Reference!$A$2:$A$18, INT((ROW()-2)/(18*3*2)) + 1)</f>
        <v>Western Visayas</v>
      </c>
      <c r="B1666" s="2" t="str">
        <f t="array" ref="B1666">INDEX(Reference!$C$2:$C$19, MOD(ROW()-2, 18) + 1)</f>
        <v>....Transportation and storage</v>
      </c>
      <c r="C1666" s="1" t="str">
        <f t="shared" si="1"/>
        <v>Sub</v>
      </c>
      <c r="D1666" s="1">
        <f t="shared" si="2"/>
        <v>2024</v>
      </c>
      <c r="E1666" s="1" t="str">
        <f t="shared" si="3"/>
        <v>At Current Prices</v>
      </c>
      <c r="F1666" s="3">
        <v>7.9221326E7</v>
      </c>
    </row>
    <row r="1667" ht="15.75" customHeight="1">
      <c r="A1667" s="1" t="str">
        <f t="array" ref="A1667">INDEX(Reference!$A$2:$A$18, INT((ROW()-2)/(18*3*2)) + 1)</f>
        <v>Western Visayas</v>
      </c>
      <c r="B1667" s="2" t="str">
        <f t="array" ref="B1667">INDEX(Reference!$C$2:$C$19, MOD(ROW()-2, 18) + 1)</f>
        <v>....Accommodation and food service activities</v>
      </c>
      <c r="C1667" s="1" t="str">
        <f t="shared" si="1"/>
        <v>Sub</v>
      </c>
      <c r="D1667" s="1">
        <f t="shared" si="2"/>
        <v>2024</v>
      </c>
      <c r="E1667" s="1" t="str">
        <f t="shared" si="3"/>
        <v>At Current Prices</v>
      </c>
      <c r="F1667" s="3">
        <v>2.199722E7</v>
      </c>
    </row>
    <row r="1668" ht="15.75" customHeight="1">
      <c r="A1668" s="1" t="str">
        <f t="array" ref="A1668">INDEX(Reference!$A$2:$A$18, INT((ROW()-2)/(18*3*2)) + 1)</f>
        <v>Western Visayas</v>
      </c>
      <c r="B1668" s="2" t="str">
        <f t="array" ref="B1668">INDEX(Reference!$C$2:$C$19, MOD(ROW()-2, 18) + 1)</f>
        <v>....Information and communication</v>
      </c>
      <c r="C1668" s="1" t="str">
        <f t="shared" si="1"/>
        <v>Sub</v>
      </c>
      <c r="D1668" s="1">
        <f t="shared" si="2"/>
        <v>2024</v>
      </c>
      <c r="E1668" s="1" t="str">
        <f t="shared" si="3"/>
        <v>At Current Prices</v>
      </c>
      <c r="F1668" s="3">
        <v>2.5428953E7</v>
      </c>
    </row>
    <row r="1669" ht="15.75" customHeight="1">
      <c r="A1669" s="1" t="str">
        <f t="array" ref="A1669">INDEX(Reference!$A$2:$A$18, INT((ROW()-2)/(18*3*2)) + 1)</f>
        <v>Western Visayas</v>
      </c>
      <c r="B1669" s="2" t="str">
        <f t="array" ref="B1669">INDEX(Reference!$C$2:$C$19, MOD(ROW()-2, 18) + 1)</f>
        <v>....Financial and insurance activities</v>
      </c>
      <c r="C1669" s="1" t="str">
        <f t="shared" si="1"/>
        <v>Sub</v>
      </c>
      <c r="D1669" s="1">
        <f t="shared" si="2"/>
        <v>2024</v>
      </c>
      <c r="E1669" s="1" t="str">
        <f t="shared" si="3"/>
        <v>At Current Prices</v>
      </c>
      <c r="F1669" s="3">
        <v>6.3645189E7</v>
      </c>
    </row>
    <row r="1670" ht="15.75" customHeight="1">
      <c r="A1670" s="1" t="str">
        <f t="array" ref="A1670">INDEX(Reference!$A$2:$A$18, INT((ROW()-2)/(18*3*2)) + 1)</f>
        <v>Western Visayas</v>
      </c>
      <c r="B1670" s="2" t="str">
        <f t="array" ref="B1670">INDEX(Reference!$C$2:$C$19, MOD(ROW()-2, 18) + 1)</f>
        <v>....Real estate and ownership of dwellings</v>
      </c>
      <c r="C1670" s="1" t="str">
        <f t="shared" si="1"/>
        <v>Sub</v>
      </c>
      <c r="D1670" s="1">
        <f t="shared" si="2"/>
        <v>2024</v>
      </c>
      <c r="E1670" s="1" t="str">
        <f t="shared" si="3"/>
        <v>At Current Prices</v>
      </c>
      <c r="F1670" s="3">
        <v>2.8791264E7</v>
      </c>
    </row>
    <row r="1671" ht="15.75" customHeight="1">
      <c r="A1671" s="1" t="str">
        <f t="array" ref="A1671">INDEX(Reference!$A$2:$A$18, INT((ROW()-2)/(18*3*2)) + 1)</f>
        <v>Western Visayas</v>
      </c>
      <c r="B1671" s="2" t="str">
        <f t="array" ref="B1671">INDEX(Reference!$C$2:$C$19, MOD(ROW()-2, 18) + 1)</f>
        <v>....Professional and business services</v>
      </c>
      <c r="C1671" s="1" t="str">
        <f t="shared" si="1"/>
        <v>Sub</v>
      </c>
      <c r="D1671" s="1">
        <f t="shared" si="2"/>
        <v>2024</v>
      </c>
      <c r="E1671" s="1" t="str">
        <f t="shared" si="3"/>
        <v>At Current Prices</v>
      </c>
      <c r="F1671" s="3">
        <v>2.0536583E7</v>
      </c>
    </row>
    <row r="1672" ht="15.75" customHeight="1">
      <c r="A1672" s="1" t="str">
        <f t="array" ref="A1672">INDEX(Reference!$A$2:$A$18, INT((ROW()-2)/(18*3*2)) + 1)</f>
        <v>Western Visayas</v>
      </c>
      <c r="B1672" s="2" t="str">
        <f t="array" ref="B1672">INDEX(Reference!$C$2:$C$19, MOD(ROW()-2, 18) + 1)</f>
        <v>....Public administration and defense; compulsory social activities</v>
      </c>
      <c r="C1672" s="1" t="str">
        <f t="shared" si="1"/>
        <v>Sub</v>
      </c>
      <c r="D1672" s="1">
        <f t="shared" si="2"/>
        <v>2024</v>
      </c>
      <c r="E1672" s="1" t="str">
        <f t="shared" si="3"/>
        <v>At Current Prices</v>
      </c>
      <c r="F1672" s="3">
        <v>3.2261363E7</v>
      </c>
    </row>
    <row r="1673" ht="15.75" customHeight="1">
      <c r="A1673" s="1" t="str">
        <f t="array" ref="A1673">INDEX(Reference!$A$2:$A$18, INT((ROW()-2)/(18*3*2)) + 1)</f>
        <v>Western Visayas</v>
      </c>
      <c r="B1673" s="2" t="str">
        <f t="array" ref="B1673">INDEX(Reference!$C$2:$C$19, MOD(ROW()-2, 18) + 1)</f>
        <v>....Education</v>
      </c>
      <c r="C1673" s="1" t="str">
        <f t="shared" si="1"/>
        <v>Sub</v>
      </c>
      <c r="D1673" s="1">
        <f t="shared" si="2"/>
        <v>2024</v>
      </c>
      <c r="E1673" s="1" t="str">
        <f t="shared" si="3"/>
        <v>At Current Prices</v>
      </c>
      <c r="F1673" s="3">
        <v>4.9113561E7</v>
      </c>
    </row>
    <row r="1674" ht="15.75" customHeight="1">
      <c r="A1674" s="1" t="str">
        <f t="array" ref="A1674">INDEX(Reference!$A$2:$A$18, INT((ROW()-2)/(18*3*2)) + 1)</f>
        <v>Western Visayas</v>
      </c>
      <c r="B1674" s="2" t="str">
        <f t="array" ref="B1674">INDEX(Reference!$C$2:$C$19, MOD(ROW()-2, 18) + 1)</f>
        <v>....Human health and social work activities</v>
      </c>
      <c r="C1674" s="1" t="str">
        <f t="shared" si="1"/>
        <v>Sub</v>
      </c>
      <c r="D1674" s="1">
        <f t="shared" si="2"/>
        <v>2024</v>
      </c>
      <c r="E1674" s="1" t="str">
        <f t="shared" si="3"/>
        <v>At Current Prices</v>
      </c>
      <c r="F1674" s="3">
        <v>1.8624795E7</v>
      </c>
    </row>
    <row r="1675" ht="15.75" customHeight="1">
      <c r="A1675" s="1" t="str">
        <f t="array" ref="A1675">INDEX(Reference!$A$2:$A$18, INT((ROW()-2)/(18*3*2)) + 1)</f>
        <v>Western Visayas</v>
      </c>
      <c r="B1675" s="2" t="str">
        <f t="array" ref="B1675">INDEX(Reference!$C$2:$C$19, MOD(ROW()-2, 18) + 1)</f>
        <v>....Other services</v>
      </c>
      <c r="C1675" s="1" t="str">
        <f t="shared" si="1"/>
        <v>Sub</v>
      </c>
      <c r="D1675" s="1">
        <f t="shared" si="2"/>
        <v>2024</v>
      </c>
      <c r="E1675" s="1" t="str">
        <f t="shared" si="3"/>
        <v>At Current Prices</v>
      </c>
      <c r="F1675" s="3">
        <v>2.1359764E7</v>
      </c>
    </row>
    <row r="1676" ht="15.75" customHeight="1">
      <c r="A1676" s="1" t="str">
        <f t="array" ref="A1676">INDEX(Reference!$A$2:$A$18, INT((ROW()-2)/(18*3*2)) + 1)</f>
        <v>Western Visayas</v>
      </c>
      <c r="B1676" s="2" t="str">
        <f t="array" ref="B1676">INDEX(Reference!$C$2:$C$19, MOD(ROW()-2, 18) + 1)</f>
        <v>..Agriculture, forestry, and fishing</v>
      </c>
      <c r="C1676" s="1" t="str">
        <f t="shared" si="1"/>
        <v>Main</v>
      </c>
      <c r="D1676" s="1">
        <f t="shared" si="2"/>
        <v>2022</v>
      </c>
      <c r="E1676" s="1" t="str">
        <f t="shared" si="3"/>
        <v>At Constant 2018 Prices</v>
      </c>
      <c r="F1676" s="3">
        <v>1.07110945E8</v>
      </c>
    </row>
    <row r="1677" ht="15.75" customHeight="1">
      <c r="A1677" s="1" t="str">
        <f t="array" ref="A1677">INDEX(Reference!$A$2:$A$18, INT((ROW()-2)/(18*3*2)) + 1)</f>
        <v>Western Visayas</v>
      </c>
      <c r="B1677" s="2" t="str">
        <f t="array" ref="B1677">INDEX(Reference!$C$2:$C$19, MOD(ROW()-2, 18) + 1)</f>
        <v>..Industry</v>
      </c>
      <c r="C1677" s="1" t="str">
        <f t="shared" si="1"/>
        <v>Main</v>
      </c>
      <c r="D1677" s="1">
        <f t="shared" si="2"/>
        <v>2022</v>
      </c>
      <c r="E1677" s="1" t="str">
        <f t="shared" si="3"/>
        <v>At Constant 2018 Prices</v>
      </c>
      <c r="F1677" s="3">
        <v>1.09941834E8</v>
      </c>
    </row>
    <row r="1678" ht="15.75" customHeight="1">
      <c r="A1678" s="1" t="str">
        <f t="array" ref="A1678">INDEX(Reference!$A$2:$A$18, INT((ROW()-2)/(18*3*2)) + 1)</f>
        <v>Western Visayas</v>
      </c>
      <c r="B1678" s="2" t="str">
        <f t="array" ref="B1678">INDEX(Reference!$C$2:$C$19, MOD(ROW()-2, 18) + 1)</f>
        <v>....Mining and quarrying</v>
      </c>
      <c r="C1678" s="1" t="str">
        <f t="shared" si="1"/>
        <v>Sub</v>
      </c>
      <c r="D1678" s="1">
        <f t="shared" si="2"/>
        <v>2022</v>
      </c>
      <c r="E1678" s="1" t="str">
        <f t="shared" si="3"/>
        <v>At Constant 2018 Prices</v>
      </c>
      <c r="F1678" s="3">
        <v>2.8704182E7</v>
      </c>
    </row>
    <row r="1679" ht="15.75" customHeight="1">
      <c r="A1679" s="1" t="str">
        <f t="array" ref="A1679">INDEX(Reference!$A$2:$A$18, INT((ROW()-2)/(18*3*2)) + 1)</f>
        <v>Western Visayas</v>
      </c>
      <c r="B1679" s="2" t="str">
        <f t="array" ref="B1679">INDEX(Reference!$C$2:$C$19, MOD(ROW()-2, 18) + 1)</f>
        <v>....Manufacturing</v>
      </c>
      <c r="C1679" s="1" t="str">
        <f t="shared" si="1"/>
        <v>Sub</v>
      </c>
      <c r="D1679" s="1">
        <f t="shared" si="2"/>
        <v>2022</v>
      </c>
      <c r="E1679" s="1" t="str">
        <f t="shared" si="3"/>
        <v>At Constant 2018 Prices</v>
      </c>
      <c r="F1679" s="3">
        <v>4.8784613E7</v>
      </c>
    </row>
    <row r="1680" ht="15.75" customHeight="1">
      <c r="A1680" s="1" t="str">
        <f t="array" ref="A1680">INDEX(Reference!$A$2:$A$18, INT((ROW()-2)/(18*3*2)) + 1)</f>
        <v>Western Visayas</v>
      </c>
      <c r="B1680" s="2" t="str">
        <f t="array" ref="B1680">INDEX(Reference!$C$2:$C$19, MOD(ROW()-2, 18) + 1)</f>
        <v>....Electricity, steam, water and waste management</v>
      </c>
      <c r="C1680" s="1" t="str">
        <f t="shared" si="1"/>
        <v>Sub</v>
      </c>
      <c r="D1680" s="1">
        <f t="shared" si="2"/>
        <v>2022</v>
      </c>
      <c r="E1680" s="1" t="str">
        <f t="shared" si="3"/>
        <v>At Constant 2018 Prices</v>
      </c>
      <c r="F1680" s="3">
        <v>8652732.0</v>
      </c>
    </row>
    <row r="1681" ht="15.75" customHeight="1">
      <c r="A1681" s="1" t="str">
        <f t="array" ref="A1681">INDEX(Reference!$A$2:$A$18, INT((ROW()-2)/(18*3*2)) + 1)</f>
        <v>Western Visayas</v>
      </c>
      <c r="B1681" s="2" t="str">
        <f t="array" ref="B1681">INDEX(Reference!$C$2:$C$19, MOD(ROW()-2, 18) + 1)</f>
        <v>....Construction</v>
      </c>
      <c r="C1681" s="1" t="str">
        <f t="shared" si="1"/>
        <v>Sub</v>
      </c>
      <c r="D1681" s="1">
        <f t="shared" si="2"/>
        <v>2022</v>
      </c>
      <c r="E1681" s="1" t="str">
        <f t="shared" si="3"/>
        <v>At Constant 2018 Prices</v>
      </c>
      <c r="F1681" s="3">
        <v>2.3800308E7</v>
      </c>
    </row>
    <row r="1682" ht="15.75" customHeight="1">
      <c r="A1682" s="1" t="str">
        <f t="array" ref="A1682">INDEX(Reference!$A$2:$A$18, INT((ROW()-2)/(18*3*2)) + 1)</f>
        <v>Western Visayas</v>
      </c>
      <c r="B1682" s="2" t="str">
        <f t="array" ref="B1682">INDEX(Reference!$C$2:$C$19, MOD(ROW()-2, 18) + 1)</f>
        <v>..Services</v>
      </c>
      <c r="C1682" s="1" t="str">
        <f t="shared" si="1"/>
        <v>Main</v>
      </c>
      <c r="D1682" s="1">
        <f t="shared" si="2"/>
        <v>2022</v>
      </c>
      <c r="E1682" s="1" t="str">
        <f t="shared" si="3"/>
        <v>At Constant 2018 Prices</v>
      </c>
      <c r="F1682" s="3">
        <v>3.58825488E8</v>
      </c>
    </row>
    <row r="1683" ht="15.75" customHeight="1">
      <c r="A1683" s="1" t="str">
        <f t="array" ref="A1683">INDEX(Reference!$A$2:$A$18, INT((ROW()-2)/(18*3*2)) + 1)</f>
        <v>Western Visayas</v>
      </c>
      <c r="B1683" s="2" t="str">
        <f t="array" ref="B1683">INDEX(Reference!$C$2:$C$19, MOD(ROW()-2, 18) + 1)</f>
        <v>....Wholesale and retail trade; repair of motor vehicles and motorcycles</v>
      </c>
      <c r="C1683" s="1" t="str">
        <f t="shared" si="1"/>
        <v>Sub</v>
      </c>
      <c r="D1683" s="1">
        <f t="shared" si="2"/>
        <v>2022</v>
      </c>
      <c r="E1683" s="1" t="str">
        <f t="shared" si="3"/>
        <v>At Constant 2018 Prices</v>
      </c>
      <c r="F1683" s="3">
        <v>1.17775229E8</v>
      </c>
    </row>
    <row r="1684" ht="15.75" customHeight="1">
      <c r="A1684" s="1" t="str">
        <f t="array" ref="A1684">INDEX(Reference!$A$2:$A$18, INT((ROW()-2)/(18*3*2)) + 1)</f>
        <v>Western Visayas</v>
      </c>
      <c r="B1684" s="2" t="str">
        <f t="array" ref="B1684">INDEX(Reference!$C$2:$C$19, MOD(ROW()-2, 18) + 1)</f>
        <v>....Transportation and storage</v>
      </c>
      <c r="C1684" s="1" t="str">
        <f t="shared" si="1"/>
        <v>Sub</v>
      </c>
      <c r="D1684" s="1">
        <f t="shared" si="2"/>
        <v>2022</v>
      </c>
      <c r="E1684" s="1" t="str">
        <f t="shared" si="3"/>
        <v>At Constant 2018 Prices</v>
      </c>
      <c r="F1684" s="3">
        <v>4.3871684E7</v>
      </c>
    </row>
    <row r="1685" ht="15.75" customHeight="1">
      <c r="A1685" s="1" t="str">
        <f t="array" ref="A1685">INDEX(Reference!$A$2:$A$18, INT((ROW()-2)/(18*3*2)) + 1)</f>
        <v>Western Visayas</v>
      </c>
      <c r="B1685" s="2" t="str">
        <f t="array" ref="B1685">INDEX(Reference!$C$2:$C$19, MOD(ROW()-2, 18) + 1)</f>
        <v>....Accommodation and food service activities</v>
      </c>
      <c r="C1685" s="1" t="str">
        <f t="shared" si="1"/>
        <v>Sub</v>
      </c>
      <c r="D1685" s="1">
        <f t="shared" si="2"/>
        <v>2022</v>
      </c>
      <c r="E1685" s="1" t="str">
        <f t="shared" si="3"/>
        <v>At Constant 2018 Prices</v>
      </c>
      <c r="F1685" s="3">
        <v>1.0802508E7</v>
      </c>
    </row>
    <row r="1686" ht="15.75" customHeight="1">
      <c r="A1686" s="1" t="str">
        <f t="array" ref="A1686">INDEX(Reference!$A$2:$A$18, INT((ROW()-2)/(18*3*2)) + 1)</f>
        <v>Western Visayas</v>
      </c>
      <c r="B1686" s="2" t="str">
        <f t="array" ref="B1686">INDEX(Reference!$C$2:$C$19, MOD(ROW()-2, 18) + 1)</f>
        <v>....Information and communication</v>
      </c>
      <c r="C1686" s="1" t="str">
        <f t="shared" si="1"/>
        <v>Sub</v>
      </c>
      <c r="D1686" s="1">
        <f t="shared" si="2"/>
        <v>2022</v>
      </c>
      <c r="E1686" s="1" t="str">
        <f t="shared" si="3"/>
        <v>At Constant 2018 Prices</v>
      </c>
      <c r="F1686" s="3">
        <v>2.2068212E7</v>
      </c>
    </row>
    <row r="1687" ht="15.75" customHeight="1">
      <c r="A1687" s="1" t="str">
        <f t="array" ref="A1687">INDEX(Reference!$A$2:$A$18, INT((ROW()-2)/(18*3*2)) + 1)</f>
        <v>Western Visayas</v>
      </c>
      <c r="B1687" s="2" t="str">
        <f t="array" ref="B1687">INDEX(Reference!$C$2:$C$19, MOD(ROW()-2, 18) + 1)</f>
        <v>....Financial and insurance activities</v>
      </c>
      <c r="C1687" s="1" t="str">
        <f t="shared" si="1"/>
        <v>Sub</v>
      </c>
      <c r="D1687" s="1">
        <f t="shared" si="2"/>
        <v>2022</v>
      </c>
      <c r="E1687" s="1" t="str">
        <f t="shared" si="3"/>
        <v>At Constant 2018 Prices</v>
      </c>
      <c r="F1687" s="3">
        <v>4.2185753E7</v>
      </c>
    </row>
    <row r="1688" ht="15.75" customHeight="1">
      <c r="A1688" s="1" t="str">
        <f t="array" ref="A1688">INDEX(Reference!$A$2:$A$18, INT((ROW()-2)/(18*3*2)) + 1)</f>
        <v>Western Visayas</v>
      </c>
      <c r="B1688" s="2" t="str">
        <f t="array" ref="B1688">INDEX(Reference!$C$2:$C$19, MOD(ROW()-2, 18) + 1)</f>
        <v>....Real estate and ownership of dwellings</v>
      </c>
      <c r="C1688" s="1" t="str">
        <f t="shared" si="1"/>
        <v>Sub</v>
      </c>
      <c r="D1688" s="1">
        <f t="shared" si="2"/>
        <v>2022</v>
      </c>
      <c r="E1688" s="1" t="str">
        <f t="shared" si="3"/>
        <v>At Constant 2018 Prices</v>
      </c>
      <c r="F1688" s="3">
        <v>2.2344445E7</v>
      </c>
    </row>
    <row r="1689" ht="15.75" customHeight="1">
      <c r="A1689" s="1" t="str">
        <f t="array" ref="A1689">INDEX(Reference!$A$2:$A$18, INT((ROW()-2)/(18*3*2)) + 1)</f>
        <v>Western Visayas</v>
      </c>
      <c r="B1689" s="2" t="str">
        <f t="array" ref="B1689">INDEX(Reference!$C$2:$C$19, MOD(ROW()-2, 18) + 1)</f>
        <v>....Professional and business services</v>
      </c>
      <c r="C1689" s="1" t="str">
        <f t="shared" si="1"/>
        <v>Sub</v>
      </c>
      <c r="D1689" s="1">
        <f t="shared" si="2"/>
        <v>2022</v>
      </c>
      <c r="E1689" s="1" t="str">
        <f t="shared" si="3"/>
        <v>At Constant 2018 Prices</v>
      </c>
      <c r="F1689" s="3">
        <v>1.3708457E7</v>
      </c>
    </row>
    <row r="1690" ht="15.75" customHeight="1">
      <c r="A1690" s="1" t="str">
        <f t="array" ref="A1690">INDEX(Reference!$A$2:$A$18, INT((ROW()-2)/(18*3*2)) + 1)</f>
        <v>Western Visayas</v>
      </c>
      <c r="B1690" s="2" t="str">
        <f t="array" ref="B1690">INDEX(Reference!$C$2:$C$19, MOD(ROW()-2, 18) + 1)</f>
        <v>....Public administration and defense; compulsory social activities</v>
      </c>
      <c r="C1690" s="1" t="str">
        <f t="shared" si="1"/>
        <v>Sub</v>
      </c>
      <c r="D1690" s="1">
        <f t="shared" si="2"/>
        <v>2022</v>
      </c>
      <c r="E1690" s="1" t="str">
        <f t="shared" si="3"/>
        <v>At Constant 2018 Prices</v>
      </c>
      <c r="F1690" s="3">
        <v>2.3313068E7</v>
      </c>
    </row>
    <row r="1691" ht="15.75" customHeight="1">
      <c r="A1691" s="1" t="str">
        <f t="array" ref="A1691">INDEX(Reference!$A$2:$A$18, INT((ROW()-2)/(18*3*2)) + 1)</f>
        <v>Western Visayas</v>
      </c>
      <c r="B1691" s="2" t="str">
        <f t="array" ref="B1691">INDEX(Reference!$C$2:$C$19, MOD(ROW()-2, 18) + 1)</f>
        <v>....Education</v>
      </c>
      <c r="C1691" s="1" t="str">
        <f t="shared" si="1"/>
        <v>Sub</v>
      </c>
      <c r="D1691" s="1">
        <f t="shared" si="2"/>
        <v>2022</v>
      </c>
      <c r="E1691" s="1" t="str">
        <f t="shared" si="3"/>
        <v>At Constant 2018 Prices</v>
      </c>
      <c r="F1691" s="3">
        <v>3.7002896E7</v>
      </c>
    </row>
    <row r="1692" ht="15.75" customHeight="1">
      <c r="A1692" s="1" t="str">
        <f t="array" ref="A1692">INDEX(Reference!$A$2:$A$18, INT((ROW()-2)/(18*3*2)) + 1)</f>
        <v>Western Visayas</v>
      </c>
      <c r="B1692" s="2" t="str">
        <f t="array" ref="B1692">INDEX(Reference!$C$2:$C$19, MOD(ROW()-2, 18) + 1)</f>
        <v>....Human health and social work activities</v>
      </c>
      <c r="C1692" s="1" t="str">
        <f t="shared" si="1"/>
        <v>Sub</v>
      </c>
      <c r="D1692" s="1">
        <f t="shared" si="2"/>
        <v>2022</v>
      </c>
      <c r="E1692" s="1" t="str">
        <f t="shared" si="3"/>
        <v>At Constant 2018 Prices</v>
      </c>
      <c r="F1692" s="3">
        <v>1.2639227E7</v>
      </c>
    </row>
    <row r="1693" ht="15.75" customHeight="1">
      <c r="A1693" s="1" t="str">
        <f t="array" ref="A1693">INDEX(Reference!$A$2:$A$18, INT((ROW()-2)/(18*3*2)) + 1)</f>
        <v>Western Visayas</v>
      </c>
      <c r="B1693" s="2" t="str">
        <f t="array" ref="B1693">INDEX(Reference!$C$2:$C$19, MOD(ROW()-2, 18) + 1)</f>
        <v>....Other services</v>
      </c>
      <c r="C1693" s="1" t="str">
        <f t="shared" si="1"/>
        <v>Sub</v>
      </c>
      <c r="D1693" s="1">
        <f t="shared" si="2"/>
        <v>2022</v>
      </c>
      <c r="E1693" s="1" t="str">
        <f t="shared" si="3"/>
        <v>At Constant 2018 Prices</v>
      </c>
      <c r="F1693" s="3">
        <v>1.3114008E7</v>
      </c>
    </row>
    <row r="1694" ht="15.75" customHeight="1">
      <c r="A1694" s="1" t="str">
        <f t="array" ref="A1694">INDEX(Reference!$A$2:$A$18, INT((ROW()-2)/(18*3*2)) + 1)</f>
        <v>Western Visayas</v>
      </c>
      <c r="B1694" s="2" t="str">
        <f t="array" ref="B1694">INDEX(Reference!$C$2:$C$19, MOD(ROW()-2, 18) + 1)</f>
        <v>..Agriculture, forestry, and fishing</v>
      </c>
      <c r="C1694" s="1" t="str">
        <f t="shared" si="1"/>
        <v>Main</v>
      </c>
      <c r="D1694" s="1">
        <f t="shared" si="2"/>
        <v>2023</v>
      </c>
      <c r="E1694" s="1" t="str">
        <f t="shared" si="3"/>
        <v>At Constant 2018 Prices</v>
      </c>
      <c r="F1694" s="3">
        <v>1.00505478E8</v>
      </c>
    </row>
    <row r="1695" ht="15.75" customHeight="1">
      <c r="A1695" s="1" t="str">
        <f t="array" ref="A1695">INDEX(Reference!$A$2:$A$18, INT((ROW()-2)/(18*3*2)) + 1)</f>
        <v>Western Visayas</v>
      </c>
      <c r="B1695" s="2" t="str">
        <f t="array" ref="B1695">INDEX(Reference!$C$2:$C$19, MOD(ROW()-2, 18) + 1)</f>
        <v>..Industry</v>
      </c>
      <c r="C1695" s="1" t="str">
        <f t="shared" si="1"/>
        <v>Main</v>
      </c>
      <c r="D1695" s="1">
        <f t="shared" si="2"/>
        <v>2023</v>
      </c>
      <c r="E1695" s="1" t="str">
        <f t="shared" si="3"/>
        <v>At Constant 2018 Prices</v>
      </c>
      <c r="F1695" s="3">
        <v>1.17322794E8</v>
      </c>
    </row>
    <row r="1696" ht="15.75" customHeight="1">
      <c r="A1696" s="1" t="str">
        <f t="array" ref="A1696">INDEX(Reference!$A$2:$A$18, INT((ROW()-2)/(18*3*2)) + 1)</f>
        <v>Western Visayas</v>
      </c>
      <c r="B1696" s="2" t="str">
        <f t="array" ref="B1696">INDEX(Reference!$C$2:$C$19, MOD(ROW()-2, 18) + 1)</f>
        <v>....Mining and quarrying</v>
      </c>
      <c r="C1696" s="1" t="str">
        <f t="shared" si="1"/>
        <v>Sub</v>
      </c>
      <c r="D1696" s="1">
        <f t="shared" si="2"/>
        <v>2023</v>
      </c>
      <c r="E1696" s="1" t="str">
        <f t="shared" si="3"/>
        <v>At Constant 2018 Prices</v>
      </c>
      <c r="F1696" s="3">
        <v>2.9263109E7</v>
      </c>
    </row>
    <row r="1697" ht="15.75" customHeight="1">
      <c r="A1697" s="1" t="str">
        <f t="array" ref="A1697">INDEX(Reference!$A$2:$A$18, INT((ROW()-2)/(18*3*2)) + 1)</f>
        <v>Western Visayas</v>
      </c>
      <c r="B1697" s="2" t="str">
        <f t="array" ref="B1697">INDEX(Reference!$C$2:$C$19, MOD(ROW()-2, 18) + 1)</f>
        <v>....Manufacturing</v>
      </c>
      <c r="C1697" s="1" t="str">
        <f t="shared" si="1"/>
        <v>Sub</v>
      </c>
      <c r="D1697" s="1">
        <f t="shared" si="2"/>
        <v>2023</v>
      </c>
      <c r="E1697" s="1" t="str">
        <f t="shared" si="3"/>
        <v>At Constant 2018 Prices</v>
      </c>
      <c r="F1697" s="3">
        <v>5.0871384E7</v>
      </c>
    </row>
    <row r="1698" ht="15.75" customHeight="1">
      <c r="A1698" s="1" t="str">
        <f t="array" ref="A1698">INDEX(Reference!$A$2:$A$18, INT((ROW()-2)/(18*3*2)) + 1)</f>
        <v>Western Visayas</v>
      </c>
      <c r="B1698" s="2" t="str">
        <f t="array" ref="B1698">INDEX(Reference!$C$2:$C$19, MOD(ROW()-2, 18) + 1)</f>
        <v>....Electricity, steam, water and waste management</v>
      </c>
      <c r="C1698" s="1" t="str">
        <f t="shared" si="1"/>
        <v>Sub</v>
      </c>
      <c r="D1698" s="1">
        <f t="shared" si="2"/>
        <v>2023</v>
      </c>
      <c r="E1698" s="1" t="str">
        <f t="shared" si="3"/>
        <v>At Constant 2018 Prices</v>
      </c>
      <c r="F1698" s="3">
        <v>9437401.0</v>
      </c>
    </row>
    <row r="1699" ht="15.75" customHeight="1">
      <c r="A1699" s="1" t="str">
        <f t="array" ref="A1699">INDEX(Reference!$A$2:$A$18, INT((ROW()-2)/(18*3*2)) + 1)</f>
        <v>Western Visayas</v>
      </c>
      <c r="B1699" s="2" t="str">
        <f t="array" ref="B1699">INDEX(Reference!$C$2:$C$19, MOD(ROW()-2, 18) + 1)</f>
        <v>....Construction</v>
      </c>
      <c r="C1699" s="1" t="str">
        <f t="shared" si="1"/>
        <v>Sub</v>
      </c>
      <c r="D1699" s="1">
        <f t="shared" si="2"/>
        <v>2023</v>
      </c>
      <c r="E1699" s="1" t="str">
        <f t="shared" si="3"/>
        <v>At Constant 2018 Prices</v>
      </c>
      <c r="F1699" s="3">
        <v>2.77509E7</v>
      </c>
    </row>
    <row r="1700" ht="15.75" customHeight="1">
      <c r="A1700" s="1" t="str">
        <f t="array" ref="A1700">INDEX(Reference!$A$2:$A$18, INT((ROW()-2)/(18*3*2)) + 1)</f>
        <v>Western Visayas</v>
      </c>
      <c r="B1700" s="2" t="str">
        <f t="array" ref="B1700">INDEX(Reference!$C$2:$C$19, MOD(ROW()-2, 18) + 1)</f>
        <v>..Services</v>
      </c>
      <c r="C1700" s="1" t="str">
        <f t="shared" si="1"/>
        <v>Main</v>
      </c>
      <c r="D1700" s="1">
        <f t="shared" si="2"/>
        <v>2023</v>
      </c>
      <c r="E1700" s="1" t="str">
        <f t="shared" si="3"/>
        <v>At Constant 2018 Prices</v>
      </c>
      <c r="F1700" s="3">
        <v>3.9745847E8</v>
      </c>
    </row>
    <row r="1701" ht="15.75" customHeight="1">
      <c r="A1701" s="1" t="str">
        <f t="array" ref="A1701">INDEX(Reference!$A$2:$A$18, INT((ROW()-2)/(18*3*2)) + 1)</f>
        <v>Western Visayas</v>
      </c>
      <c r="B1701" s="2" t="str">
        <f t="array" ref="B1701">INDEX(Reference!$C$2:$C$19, MOD(ROW()-2, 18) + 1)</f>
        <v>....Wholesale and retail trade; repair of motor vehicles and motorcycles</v>
      </c>
      <c r="C1701" s="1" t="str">
        <f t="shared" si="1"/>
        <v>Sub</v>
      </c>
      <c r="D1701" s="1">
        <f t="shared" si="2"/>
        <v>2023</v>
      </c>
      <c r="E1701" s="1" t="str">
        <f t="shared" si="3"/>
        <v>At Constant 2018 Prices</v>
      </c>
      <c r="F1701" s="3">
        <v>1.27015052E8</v>
      </c>
    </row>
    <row r="1702" ht="15.75" customHeight="1">
      <c r="A1702" s="1" t="str">
        <f t="array" ref="A1702">INDEX(Reference!$A$2:$A$18, INT((ROW()-2)/(18*3*2)) + 1)</f>
        <v>Western Visayas</v>
      </c>
      <c r="B1702" s="2" t="str">
        <f t="array" ref="B1702">INDEX(Reference!$C$2:$C$19, MOD(ROW()-2, 18) + 1)</f>
        <v>....Transportation and storage</v>
      </c>
      <c r="C1702" s="1" t="str">
        <f t="shared" si="1"/>
        <v>Sub</v>
      </c>
      <c r="D1702" s="1">
        <f t="shared" si="2"/>
        <v>2023</v>
      </c>
      <c r="E1702" s="1" t="str">
        <f t="shared" si="3"/>
        <v>At Constant 2018 Prices</v>
      </c>
      <c r="F1702" s="3">
        <v>5.133574E7</v>
      </c>
    </row>
    <row r="1703" ht="15.75" customHeight="1">
      <c r="A1703" s="1" t="str">
        <f t="array" ref="A1703">INDEX(Reference!$A$2:$A$18, INT((ROW()-2)/(18*3*2)) + 1)</f>
        <v>Western Visayas</v>
      </c>
      <c r="B1703" s="2" t="str">
        <f t="array" ref="B1703">INDEX(Reference!$C$2:$C$19, MOD(ROW()-2, 18) + 1)</f>
        <v>....Accommodation and food service activities</v>
      </c>
      <c r="C1703" s="1" t="str">
        <f t="shared" si="1"/>
        <v>Sub</v>
      </c>
      <c r="D1703" s="1">
        <f t="shared" si="2"/>
        <v>2023</v>
      </c>
      <c r="E1703" s="1" t="str">
        <f t="shared" si="3"/>
        <v>At Constant 2018 Prices</v>
      </c>
      <c r="F1703" s="3">
        <v>1.5183634E7</v>
      </c>
    </row>
    <row r="1704" ht="15.75" customHeight="1">
      <c r="A1704" s="1" t="str">
        <f t="array" ref="A1704">INDEX(Reference!$A$2:$A$18, INT((ROW()-2)/(18*3*2)) + 1)</f>
        <v>Western Visayas</v>
      </c>
      <c r="B1704" s="2" t="str">
        <f t="array" ref="B1704">INDEX(Reference!$C$2:$C$19, MOD(ROW()-2, 18) + 1)</f>
        <v>....Information and communication</v>
      </c>
      <c r="C1704" s="1" t="str">
        <f t="shared" si="1"/>
        <v>Sub</v>
      </c>
      <c r="D1704" s="1">
        <f t="shared" si="2"/>
        <v>2023</v>
      </c>
      <c r="E1704" s="1" t="str">
        <f t="shared" si="3"/>
        <v>At Constant 2018 Prices</v>
      </c>
      <c r="F1704" s="3">
        <v>2.2876313E7</v>
      </c>
    </row>
    <row r="1705" ht="15.75" customHeight="1">
      <c r="A1705" s="1" t="str">
        <f t="array" ref="A1705">INDEX(Reference!$A$2:$A$18, INT((ROW()-2)/(18*3*2)) + 1)</f>
        <v>Western Visayas</v>
      </c>
      <c r="B1705" s="2" t="str">
        <f t="array" ref="B1705">INDEX(Reference!$C$2:$C$19, MOD(ROW()-2, 18) + 1)</f>
        <v>....Financial and insurance activities</v>
      </c>
      <c r="C1705" s="1" t="str">
        <f t="shared" si="1"/>
        <v>Sub</v>
      </c>
      <c r="D1705" s="1">
        <f t="shared" si="2"/>
        <v>2023</v>
      </c>
      <c r="E1705" s="1" t="str">
        <f t="shared" si="3"/>
        <v>At Constant 2018 Prices</v>
      </c>
      <c r="F1705" s="3">
        <v>4.6992076E7</v>
      </c>
    </row>
    <row r="1706" ht="15.75" customHeight="1">
      <c r="A1706" s="1" t="str">
        <f t="array" ref="A1706">INDEX(Reference!$A$2:$A$18, INT((ROW()-2)/(18*3*2)) + 1)</f>
        <v>Western Visayas</v>
      </c>
      <c r="B1706" s="2" t="str">
        <f t="array" ref="B1706">INDEX(Reference!$C$2:$C$19, MOD(ROW()-2, 18) + 1)</f>
        <v>....Real estate and ownership of dwellings</v>
      </c>
      <c r="C1706" s="1" t="str">
        <f t="shared" si="1"/>
        <v>Sub</v>
      </c>
      <c r="D1706" s="1">
        <f t="shared" si="2"/>
        <v>2023</v>
      </c>
      <c r="E1706" s="1" t="str">
        <f t="shared" si="3"/>
        <v>At Constant 2018 Prices</v>
      </c>
      <c r="F1706" s="3">
        <v>2.3326085E7</v>
      </c>
    </row>
    <row r="1707" ht="15.75" customHeight="1">
      <c r="A1707" s="1" t="str">
        <f t="array" ref="A1707">INDEX(Reference!$A$2:$A$18, INT((ROW()-2)/(18*3*2)) + 1)</f>
        <v>Western Visayas</v>
      </c>
      <c r="B1707" s="2" t="str">
        <f t="array" ref="B1707">INDEX(Reference!$C$2:$C$19, MOD(ROW()-2, 18) + 1)</f>
        <v>....Professional and business services</v>
      </c>
      <c r="C1707" s="1" t="str">
        <f t="shared" si="1"/>
        <v>Sub</v>
      </c>
      <c r="D1707" s="1">
        <f t="shared" si="2"/>
        <v>2023</v>
      </c>
      <c r="E1707" s="1" t="str">
        <f t="shared" si="3"/>
        <v>At Constant 2018 Prices</v>
      </c>
      <c r="F1707" s="3">
        <v>1.5104319E7</v>
      </c>
    </row>
    <row r="1708" ht="15.75" customHeight="1">
      <c r="A1708" s="1" t="str">
        <f t="array" ref="A1708">INDEX(Reference!$A$2:$A$18, INT((ROW()-2)/(18*3*2)) + 1)</f>
        <v>Western Visayas</v>
      </c>
      <c r="B1708" s="2" t="str">
        <f t="array" ref="B1708">INDEX(Reference!$C$2:$C$19, MOD(ROW()-2, 18) + 1)</f>
        <v>....Public administration and defense; compulsory social activities</v>
      </c>
      <c r="C1708" s="1" t="str">
        <f t="shared" si="1"/>
        <v>Sub</v>
      </c>
      <c r="D1708" s="1">
        <f t="shared" si="2"/>
        <v>2023</v>
      </c>
      <c r="E1708" s="1" t="str">
        <f t="shared" si="3"/>
        <v>At Constant 2018 Prices</v>
      </c>
      <c r="F1708" s="3">
        <v>2.5921691E7</v>
      </c>
    </row>
    <row r="1709" ht="15.75" customHeight="1">
      <c r="A1709" s="1" t="str">
        <f t="array" ref="A1709">INDEX(Reference!$A$2:$A$18, INT((ROW()-2)/(18*3*2)) + 1)</f>
        <v>Western Visayas</v>
      </c>
      <c r="B1709" s="2" t="str">
        <f t="array" ref="B1709">INDEX(Reference!$C$2:$C$19, MOD(ROW()-2, 18) + 1)</f>
        <v>....Education</v>
      </c>
      <c r="C1709" s="1" t="str">
        <f t="shared" si="1"/>
        <v>Sub</v>
      </c>
      <c r="D1709" s="1">
        <f t="shared" si="2"/>
        <v>2023</v>
      </c>
      <c r="E1709" s="1" t="str">
        <f t="shared" si="3"/>
        <v>At Constant 2018 Prices</v>
      </c>
      <c r="F1709" s="3">
        <v>3.9117278E7</v>
      </c>
    </row>
    <row r="1710" ht="15.75" customHeight="1">
      <c r="A1710" s="1" t="str">
        <f t="array" ref="A1710">INDEX(Reference!$A$2:$A$18, INT((ROW()-2)/(18*3*2)) + 1)</f>
        <v>Western Visayas</v>
      </c>
      <c r="B1710" s="2" t="str">
        <f t="array" ref="B1710">INDEX(Reference!$C$2:$C$19, MOD(ROW()-2, 18) + 1)</f>
        <v>....Human health and social work activities</v>
      </c>
      <c r="C1710" s="1" t="str">
        <f t="shared" si="1"/>
        <v>Sub</v>
      </c>
      <c r="D1710" s="1">
        <f t="shared" si="2"/>
        <v>2023</v>
      </c>
      <c r="E1710" s="1" t="str">
        <f t="shared" si="3"/>
        <v>At Constant 2018 Prices</v>
      </c>
      <c r="F1710" s="3">
        <v>1.3777971E7</v>
      </c>
    </row>
    <row r="1711" ht="15.75" customHeight="1">
      <c r="A1711" s="1" t="str">
        <f t="array" ref="A1711">INDEX(Reference!$A$2:$A$18, INT((ROW()-2)/(18*3*2)) + 1)</f>
        <v>Western Visayas</v>
      </c>
      <c r="B1711" s="2" t="str">
        <f t="array" ref="B1711">INDEX(Reference!$C$2:$C$19, MOD(ROW()-2, 18) + 1)</f>
        <v>....Other services</v>
      </c>
      <c r="C1711" s="1" t="str">
        <f t="shared" si="1"/>
        <v>Sub</v>
      </c>
      <c r="D1711" s="1">
        <f t="shared" si="2"/>
        <v>2023</v>
      </c>
      <c r="E1711" s="1" t="str">
        <f t="shared" si="3"/>
        <v>At Constant 2018 Prices</v>
      </c>
      <c r="F1711" s="3">
        <v>1.6808311E7</v>
      </c>
    </row>
    <row r="1712" ht="15.75" customHeight="1">
      <c r="A1712" s="1" t="str">
        <f t="array" ref="A1712">INDEX(Reference!$A$2:$A$18, INT((ROW()-2)/(18*3*2)) + 1)</f>
        <v>Western Visayas</v>
      </c>
      <c r="B1712" s="2" t="str">
        <f t="array" ref="B1712">INDEX(Reference!$C$2:$C$19, MOD(ROW()-2, 18) + 1)</f>
        <v>..Agriculture, forestry, and fishing</v>
      </c>
      <c r="C1712" s="1" t="str">
        <f t="shared" si="1"/>
        <v>Main</v>
      </c>
      <c r="D1712" s="1">
        <f t="shared" si="2"/>
        <v>2024</v>
      </c>
      <c r="E1712" s="1" t="str">
        <f t="shared" si="3"/>
        <v>At Constant 2018 Prices</v>
      </c>
      <c r="F1712" s="3">
        <v>9.3161638E7</v>
      </c>
    </row>
    <row r="1713" ht="15.75" customHeight="1">
      <c r="A1713" s="1" t="str">
        <f t="array" ref="A1713">INDEX(Reference!$A$2:$A$18, INT((ROW()-2)/(18*3*2)) + 1)</f>
        <v>Western Visayas</v>
      </c>
      <c r="B1713" s="2" t="str">
        <f t="array" ref="B1713">INDEX(Reference!$C$2:$C$19, MOD(ROW()-2, 18) + 1)</f>
        <v>..Industry</v>
      </c>
      <c r="C1713" s="1" t="str">
        <f t="shared" si="1"/>
        <v>Main</v>
      </c>
      <c r="D1713" s="1">
        <f t="shared" si="2"/>
        <v>2024</v>
      </c>
      <c r="E1713" s="1" t="str">
        <f t="shared" si="3"/>
        <v>At Constant 2018 Prices</v>
      </c>
      <c r="F1713" s="3">
        <v>1.21916629E8</v>
      </c>
    </row>
    <row r="1714" ht="15.75" customHeight="1">
      <c r="A1714" s="1" t="str">
        <f t="array" ref="A1714">INDEX(Reference!$A$2:$A$18, INT((ROW()-2)/(18*3*2)) + 1)</f>
        <v>Western Visayas</v>
      </c>
      <c r="B1714" s="2" t="str">
        <f t="array" ref="B1714">INDEX(Reference!$C$2:$C$19, MOD(ROW()-2, 18) + 1)</f>
        <v>....Mining and quarrying</v>
      </c>
      <c r="C1714" s="1" t="str">
        <f t="shared" si="1"/>
        <v>Sub</v>
      </c>
      <c r="D1714" s="1">
        <f t="shared" si="2"/>
        <v>2024</v>
      </c>
      <c r="E1714" s="1" t="str">
        <f t="shared" si="3"/>
        <v>At Constant 2018 Prices</v>
      </c>
      <c r="F1714" s="3">
        <v>3.0281738E7</v>
      </c>
    </row>
    <row r="1715" ht="15.75" customHeight="1">
      <c r="A1715" s="1" t="str">
        <f t="array" ref="A1715">INDEX(Reference!$A$2:$A$18, INT((ROW()-2)/(18*3*2)) + 1)</f>
        <v>Western Visayas</v>
      </c>
      <c r="B1715" s="2" t="str">
        <f t="array" ref="B1715">INDEX(Reference!$C$2:$C$19, MOD(ROW()-2, 18) + 1)</f>
        <v>....Manufacturing</v>
      </c>
      <c r="C1715" s="1" t="str">
        <f t="shared" si="1"/>
        <v>Sub</v>
      </c>
      <c r="D1715" s="1">
        <f t="shared" si="2"/>
        <v>2024</v>
      </c>
      <c r="E1715" s="1" t="str">
        <f t="shared" si="3"/>
        <v>At Constant 2018 Prices</v>
      </c>
      <c r="F1715" s="3">
        <v>5.2190277E7</v>
      </c>
    </row>
    <row r="1716" ht="15.75" customHeight="1">
      <c r="A1716" s="1" t="str">
        <f t="array" ref="A1716">INDEX(Reference!$A$2:$A$18, INT((ROW()-2)/(18*3*2)) + 1)</f>
        <v>Western Visayas</v>
      </c>
      <c r="B1716" s="2" t="str">
        <f t="array" ref="B1716">INDEX(Reference!$C$2:$C$19, MOD(ROW()-2, 18) + 1)</f>
        <v>....Electricity, steam, water and waste management</v>
      </c>
      <c r="C1716" s="1" t="str">
        <f t="shared" si="1"/>
        <v>Sub</v>
      </c>
      <c r="D1716" s="1">
        <f t="shared" si="2"/>
        <v>2024</v>
      </c>
      <c r="E1716" s="1" t="str">
        <f t="shared" si="3"/>
        <v>At Constant 2018 Prices</v>
      </c>
      <c r="F1716" s="3">
        <v>1.0713463E7</v>
      </c>
    </row>
    <row r="1717" ht="15.75" customHeight="1">
      <c r="A1717" s="1" t="str">
        <f t="array" ref="A1717">INDEX(Reference!$A$2:$A$18, INT((ROW()-2)/(18*3*2)) + 1)</f>
        <v>Western Visayas</v>
      </c>
      <c r="B1717" s="2" t="str">
        <f t="array" ref="B1717">INDEX(Reference!$C$2:$C$19, MOD(ROW()-2, 18) + 1)</f>
        <v>....Construction</v>
      </c>
      <c r="C1717" s="1" t="str">
        <f t="shared" si="1"/>
        <v>Sub</v>
      </c>
      <c r="D1717" s="1">
        <f t="shared" si="2"/>
        <v>2024</v>
      </c>
      <c r="E1717" s="1" t="str">
        <f t="shared" si="3"/>
        <v>At Constant 2018 Prices</v>
      </c>
      <c r="F1717" s="3">
        <v>2.8731151E7</v>
      </c>
    </row>
    <row r="1718" ht="15.75" customHeight="1">
      <c r="A1718" s="1" t="str">
        <f t="array" ref="A1718">INDEX(Reference!$A$2:$A$18, INT((ROW()-2)/(18*3*2)) + 1)</f>
        <v>Western Visayas</v>
      </c>
      <c r="B1718" s="2" t="str">
        <f t="array" ref="B1718">INDEX(Reference!$C$2:$C$19, MOD(ROW()-2, 18) + 1)</f>
        <v>..Services</v>
      </c>
      <c r="C1718" s="1" t="str">
        <f t="shared" si="1"/>
        <v>Main</v>
      </c>
      <c r="D1718" s="1">
        <f t="shared" si="2"/>
        <v>2024</v>
      </c>
      <c r="E1718" s="1" t="str">
        <f t="shared" si="3"/>
        <v>At Constant 2018 Prices</v>
      </c>
      <c r="F1718" s="3">
        <v>4.26685405E8</v>
      </c>
    </row>
    <row r="1719" ht="15.75" customHeight="1">
      <c r="A1719" s="1" t="str">
        <f t="array" ref="A1719">INDEX(Reference!$A$2:$A$18, INT((ROW()-2)/(18*3*2)) + 1)</f>
        <v>Western Visayas</v>
      </c>
      <c r="B1719" s="2" t="str">
        <f t="array" ref="B1719">INDEX(Reference!$C$2:$C$19, MOD(ROW()-2, 18) + 1)</f>
        <v>....Wholesale and retail trade; repair of motor vehicles and motorcycles</v>
      </c>
      <c r="C1719" s="1" t="str">
        <f t="shared" si="1"/>
        <v>Sub</v>
      </c>
      <c r="D1719" s="1">
        <f t="shared" si="2"/>
        <v>2024</v>
      </c>
      <c r="E1719" s="1" t="str">
        <f t="shared" si="3"/>
        <v>At Constant 2018 Prices</v>
      </c>
      <c r="F1719" s="3">
        <v>1.36235948E8</v>
      </c>
    </row>
    <row r="1720" ht="15.75" customHeight="1">
      <c r="A1720" s="1" t="str">
        <f t="array" ref="A1720">INDEX(Reference!$A$2:$A$18, INT((ROW()-2)/(18*3*2)) + 1)</f>
        <v>Western Visayas</v>
      </c>
      <c r="B1720" s="2" t="str">
        <f t="array" ref="B1720">INDEX(Reference!$C$2:$C$19, MOD(ROW()-2, 18) + 1)</f>
        <v>....Transportation and storage</v>
      </c>
      <c r="C1720" s="1" t="str">
        <f t="shared" si="1"/>
        <v>Sub</v>
      </c>
      <c r="D1720" s="1">
        <f t="shared" si="2"/>
        <v>2024</v>
      </c>
      <c r="E1720" s="1" t="str">
        <f t="shared" si="3"/>
        <v>At Constant 2018 Prices</v>
      </c>
      <c r="F1720" s="3">
        <v>5.574969E7</v>
      </c>
    </row>
    <row r="1721" ht="15.75" customHeight="1">
      <c r="A1721" s="1" t="str">
        <f t="array" ref="A1721">INDEX(Reference!$A$2:$A$18, INT((ROW()-2)/(18*3*2)) + 1)</f>
        <v>Western Visayas</v>
      </c>
      <c r="B1721" s="2" t="str">
        <f t="array" ref="B1721">INDEX(Reference!$C$2:$C$19, MOD(ROW()-2, 18) + 1)</f>
        <v>....Accommodation and food service activities</v>
      </c>
      <c r="C1721" s="1" t="str">
        <f t="shared" si="1"/>
        <v>Sub</v>
      </c>
      <c r="D1721" s="1">
        <f t="shared" si="2"/>
        <v>2024</v>
      </c>
      <c r="E1721" s="1" t="str">
        <f t="shared" si="3"/>
        <v>At Constant 2018 Prices</v>
      </c>
      <c r="F1721" s="3">
        <v>1.675883E7</v>
      </c>
    </row>
    <row r="1722" ht="15.75" customHeight="1">
      <c r="A1722" s="1" t="str">
        <f t="array" ref="A1722">INDEX(Reference!$A$2:$A$18, INT((ROW()-2)/(18*3*2)) + 1)</f>
        <v>Western Visayas</v>
      </c>
      <c r="B1722" s="2" t="str">
        <f t="array" ref="B1722">INDEX(Reference!$C$2:$C$19, MOD(ROW()-2, 18) + 1)</f>
        <v>....Information and communication</v>
      </c>
      <c r="C1722" s="1" t="str">
        <f t="shared" si="1"/>
        <v>Sub</v>
      </c>
      <c r="D1722" s="1">
        <f t="shared" si="2"/>
        <v>2024</v>
      </c>
      <c r="E1722" s="1" t="str">
        <f t="shared" si="3"/>
        <v>At Constant 2018 Prices</v>
      </c>
      <c r="F1722" s="3">
        <v>2.4432983E7</v>
      </c>
    </row>
    <row r="1723" ht="15.75" customHeight="1">
      <c r="A1723" s="1" t="str">
        <f t="array" ref="A1723">INDEX(Reference!$A$2:$A$18, INT((ROW()-2)/(18*3*2)) + 1)</f>
        <v>Western Visayas</v>
      </c>
      <c r="B1723" s="2" t="str">
        <f t="array" ref="B1723">INDEX(Reference!$C$2:$C$19, MOD(ROW()-2, 18) + 1)</f>
        <v>....Financial and insurance activities</v>
      </c>
      <c r="C1723" s="1" t="str">
        <f t="shared" si="1"/>
        <v>Sub</v>
      </c>
      <c r="D1723" s="1">
        <f t="shared" si="2"/>
        <v>2024</v>
      </c>
      <c r="E1723" s="1" t="str">
        <f t="shared" si="3"/>
        <v>At Constant 2018 Prices</v>
      </c>
      <c r="F1723" s="3">
        <v>5.0751153E7</v>
      </c>
    </row>
    <row r="1724" ht="15.75" customHeight="1">
      <c r="A1724" s="1" t="str">
        <f t="array" ref="A1724">INDEX(Reference!$A$2:$A$18, INT((ROW()-2)/(18*3*2)) + 1)</f>
        <v>Western Visayas</v>
      </c>
      <c r="B1724" s="2" t="str">
        <f t="array" ref="B1724">INDEX(Reference!$C$2:$C$19, MOD(ROW()-2, 18) + 1)</f>
        <v>....Real estate and ownership of dwellings</v>
      </c>
      <c r="C1724" s="1" t="str">
        <f t="shared" si="1"/>
        <v>Sub</v>
      </c>
      <c r="D1724" s="1">
        <f t="shared" si="2"/>
        <v>2024</v>
      </c>
      <c r="E1724" s="1" t="str">
        <f t="shared" si="3"/>
        <v>At Constant 2018 Prices</v>
      </c>
      <c r="F1724" s="3">
        <v>2.4565741E7</v>
      </c>
    </row>
    <row r="1725" ht="15.75" customHeight="1">
      <c r="A1725" s="1" t="str">
        <f t="array" ref="A1725">INDEX(Reference!$A$2:$A$18, INT((ROW()-2)/(18*3*2)) + 1)</f>
        <v>Western Visayas</v>
      </c>
      <c r="B1725" s="2" t="str">
        <f t="array" ref="B1725">INDEX(Reference!$C$2:$C$19, MOD(ROW()-2, 18) + 1)</f>
        <v>....Professional and business services</v>
      </c>
      <c r="C1725" s="1" t="str">
        <f t="shared" si="1"/>
        <v>Sub</v>
      </c>
      <c r="D1725" s="1">
        <f t="shared" si="2"/>
        <v>2024</v>
      </c>
      <c r="E1725" s="1" t="str">
        <f t="shared" si="3"/>
        <v>At Constant 2018 Prices</v>
      </c>
      <c r="F1725" s="3">
        <v>1.717273E7</v>
      </c>
    </row>
    <row r="1726" ht="15.75" customHeight="1">
      <c r="A1726" s="1" t="str">
        <f t="array" ref="A1726">INDEX(Reference!$A$2:$A$18, INT((ROW()-2)/(18*3*2)) + 1)</f>
        <v>Western Visayas</v>
      </c>
      <c r="B1726" s="2" t="str">
        <f t="array" ref="B1726">INDEX(Reference!$C$2:$C$19, MOD(ROW()-2, 18) + 1)</f>
        <v>....Public administration and defense; compulsory social activities</v>
      </c>
      <c r="C1726" s="1" t="str">
        <f t="shared" si="1"/>
        <v>Sub</v>
      </c>
      <c r="D1726" s="1">
        <f t="shared" si="2"/>
        <v>2024</v>
      </c>
      <c r="E1726" s="1" t="str">
        <f t="shared" si="3"/>
        <v>At Constant 2018 Prices</v>
      </c>
      <c r="F1726" s="3">
        <v>2.684703E7</v>
      </c>
    </row>
    <row r="1727" ht="15.75" customHeight="1">
      <c r="A1727" s="1" t="str">
        <f t="array" ref="A1727">INDEX(Reference!$A$2:$A$18, INT((ROW()-2)/(18*3*2)) + 1)</f>
        <v>Western Visayas</v>
      </c>
      <c r="B1727" s="2" t="str">
        <f t="array" ref="B1727">INDEX(Reference!$C$2:$C$19, MOD(ROW()-2, 18) + 1)</f>
        <v>....Education</v>
      </c>
      <c r="C1727" s="1" t="str">
        <f t="shared" si="1"/>
        <v>Sub</v>
      </c>
      <c r="D1727" s="1">
        <f t="shared" si="2"/>
        <v>2024</v>
      </c>
      <c r="E1727" s="1" t="str">
        <f t="shared" si="3"/>
        <v>At Constant 2018 Prices</v>
      </c>
      <c r="F1727" s="3">
        <v>4.0442038E7</v>
      </c>
    </row>
    <row r="1728" ht="15.75" customHeight="1">
      <c r="A1728" s="1" t="str">
        <f t="array" ref="A1728">INDEX(Reference!$A$2:$A$18, INT((ROW()-2)/(18*3*2)) + 1)</f>
        <v>Western Visayas</v>
      </c>
      <c r="B1728" s="2" t="str">
        <f t="array" ref="B1728">INDEX(Reference!$C$2:$C$19, MOD(ROW()-2, 18) + 1)</f>
        <v>....Human health and social work activities</v>
      </c>
      <c r="C1728" s="1" t="str">
        <f t="shared" si="1"/>
        <v>Sub</v>
      </c>
      <c r="D1728" s="1">
        <f t="shared" si="2"/>
        <v>2024</v>
      </c>
      <c r="E1728" s="1" t="str">
        <f t="shared" si="3"/>
        <v>At Constant 2018 Prices</v>
      </c>
      <c r="F1728" s="3">
        <v>1.5636549E7</v>
      </c>
    </row>
    <row r="1729" ht="15.75" customHeight="1">
      <c r="A1729" s="1" t="str">
        <f t="array" ref="A1729">INDEX(Reference!$A$2:$A$18, INT((ROW()-2)/(18*3*2)) + 1)</f>
        <v>Western Visayas</v>
      </c>
      <c r="B1729" s="2" t="str">
        <f t="array" ref="B1729">INDEX(Reference!$C$2:$C$19, MOD(ROW()-2, 18) + 1)</f>
        <v>....Other services</v>
      </c>
      <c r="C1729" s="1" t="str">
        <f t="shared" si="1"/>
        <v>Sub</v>
      </c>
      <c r="D1729" s="1">
        <f t="shared" si="2"/>
        <v>2024</v>
      </c>
      <c r="E1729" s="1" t="str">
        <f t="shared" si="3"/>
        <v>At Constant 2018 Prices</v>
      </c>
      <c r="F1729" s="3">
        <v>1.8092714E7</v>
      </c>
    </row>
    <row r="1730" ht="15.75" customHeight="1">
      <c r="A1730" s="1" t="str">
        <f t="array" ref="A1730">INDEX(Reference!$A$2:$A$18, INT((ROW()-2)/(18*3*2)) + 1)</f>
        <v>Zamboanga Peninsula</v>
      </c>
      <c r="B1730" s="2" t="str">
        <f t="array" ref="B1730">INDEX(Reference!$C$2:$C$19, MOD(ROW()-2, 18) + 1)</f>
        <v>..Agriculture, forestry, and fishing</v>
      </c>
      <c r="C1730" s="1" t="str">
        <f t="shared" si="1"/>
        <v>Main</v>
      </c>
      <c r="D1730" s="1">
        <f t="shared" si="2"/>
        <v>2022</v>
      </c>
      <c r="E1730" s="1" t="str">
        <f t="shared" si="3"/>
        <v>At Current Prices</v>
      </c>
      <c r="F1730" s="3">
        <v>9.3881173E7</v>
      </c>
    </row>
    <row r="1731" ht="15.75" customHeight="1">
      <c r="A1731" s="1" t="str">
        <f t="array" ref="A1731">INDEX(Reference!$A$2:$A$18, INT((ROW()-2)/(18*3*2)) + 1)</f>
        <v>Zamboanga Peninsula</v>
      </c>
      <c r="B1731" s="2" t="str">
        <f t="array" ref="B1731">INDEX(Reference!$C$2:$C$19, MOD(ROW()-2, 18) + 1)</f>
        <v>..Industry</v>
      </c>
      <c r="C1731" s="1" t="str">
        <f t="shared" si="1"/>
        <v>Main</v>
      </c>
      <c r="D1731" s="1">
        <f t="shared" si="2"/>
        <v>2022</v>
      </c>
      <c r="E1731" s="1" t="str">
        <f t="shared" si="3"/>
        <v>At Current Prices</v>
      </c>
      <c r="F1731" s="3">
        <v>1.53607498E8</v>
      </c>
    </row>
    <row r="1732" ht="15.75" customHeight="1">
      <c r="A1732" s="1" t="str">
        <f t="array" ref="A1732">INDEX(Reference!$A$2:$A$18, INT((ROW()-2)/(18*3*2)) + 1)</f>
        <v>Zamboanga Peninsula</v>
      </c>
      <c r="B1732" s="2" t="str">
        <f t="array" ref="B1732">INDEX(Reference!$C$2:$C$19, MOD(ROW()-2, 18) + 1)</f>
        <v>....Mining and quarrying</v>
      </c>
      <c r="C1732" s="1" t="str">
        <f t="shared" si="1"/>
        <v>Sub</v>
      </c>
      <c r="D1732" s="1">
        <f t="shared" si="2"/>
        <v>2022</v>
      </c>
      <c r="E1732" s="1" t="str">
        <f t="shared" si="3"/>
        <v>At Current Prices</v>
      </c>
      <c r="F1732" s="3">
        <v>1236673.0</v>
      </c>
    </row>
    <row r="1733" ht="15.75" customHeight="1">
      <c r="A1733" s="1" t="str">
        <f t="array" ref="A1733">INDEX(Reference!$A$2:$A$18, INT((ROW()-2)/(18*3*2)) + 1)</f>
        <v>Zamboanga Peninsula</v>
      </c>
      <c r="B1733" s="2" t="str">
        <f t="array" ref="B1733">INDEX(Reference!$C$2:$C$19, MOD(ROW()-2, 18) + 1)</f>
        <v>....Manufacturing</v>
      </c>
      <c r="C1733" s="1" t="str">
        <f t="shared" si="1"/>
        <v>Sub</v>
      </c>
      <c r="D1733" s="1">
        <f t="shared" si="2"/>
        <v>2022</v>
      </c>
      <c r="E1733" s="1" t="str">
        <f t="shared" si="3"/>
        <v>At Current Prices</v>
      </c>
      <c r="F1733" s="3">
        <v>9.3449057E7</v>
      </c>
    </row>
    <row r="1734" ht="15.75" customHeight="1">
      <c r="A1734" s="1" t="str">
        <f t="array" ref="A1734">INDEX(Reference!$A$2:$A$18, INT((ROW()-2)/(18*3*2)) + 1)</f>
        <v>Zamboanga Peninsula</v>
      </c>
      <c r="B1734" s="2" t="str">
        <f t="array" ref="B1734">INDEX(Reference!$C$2:$C$19, MOD(ROW()-2, 18) + 1)</f>
        <v>....Electricity, steam, water and waste management</v>
      </c>
      <c r="C1734" s="1" t="str">
        <f t="shared" si="1"/>
        <v>Sub</v>
      </c>
      <c r="D1734" s="1">
        <f t="shared" si="2"/>
        <v>2022</v>
      </c>
      <c r="E1734" s="1" t="str">
        <f t="shared" si="3"/>
        <v>At Current Prices</v>
      </c>
      <c r="F1734" s="3">
        <v>5531999.0</v>
      </c>
    </row>
    <row r="1735" ht="15.75" customHeight="1">
      <c r="A1735" s="1" t="str">
        <f t="array" ref="A1735">INDEX(Reference!$A$2:$A$18, INT((ROW()-2)/(18*3*2)) + 1)</f>
        <v>Zamboanga Peninsula</v>
      </c>
      <c r="B1735" s="2" t="str">
        <f t="array" ref="B1735">INDEX(Reference!$C$2:$C$19, MOD(ROW()-2, 18) + 1)</f>
        <v>....Construction</v>
      </c>
      <c r="C1735" s="1" t="str">
        <f t="shared" si="1"/>
        <v>Sub</v>
      </c>
      <c r="D1735" s="1">
        <f t="shared" si="2"/>
        <v>2022</v>
      </c>
      <c r="E1735" s="1" t="str">
        <f t="shared" si="3"/>
        <v>At Current Prices</v>
      </c>
      <c r="F1735" s="3">
        <v>5.3389769E7</v>
      </c>
    </row>
    <row r="1736" ht="15.75" customHeight="1">
      <c r="A1736" s="1" t="str">
        <f t="array" ref="A1736">INDEX(Reference!$A$2:$A$18, INT((ROW()-2)/(18*3*2)) + 1)</f>
        <v>Zamboanga Peninsula</v>
      </c>
      <c r="B1736" s="2" t="str">
        <f t="array" ref="B1736">INDEX(Reference!$C$2:$C$19, MOD(ROW()-2, 18) + 1)</f>
        <v>..Services</v>
      </c>
      <c r="C1736" s="1" t="str">
        <f t="shared" si="1"/>
        <v>Main</v>
      </c>
      <c r="D1736" s="1">
        <f t="shared" si="2"/>
        <v>2022</v>
      </c>
      <c r="E1736" s="1" t="str">
        <f t="shared" si="3"/>
        <v>At Current Prices</v>
      </c>
      <c r="F1736" s="3">
        <v>2.42692765E8</v>
      </c>
    </row>
    <row r="1737" ht="15.75" customHeight="1">
      <c r="A1737" s="1" t="str">
        <f t="array" ref="A1737">INDEX(Reference!$A$2:$A$18, INT((ROW()-2)/(18*3*2)) + 1)</f>
        <v>Zamboanga Peninsula</v>
      </c>
      <c r="B1737" s="2" t="str">
        <f t="array" ref="B1737">INDEX(Reference!$C$2:$C$19, MOD(ROW()-2, 18) + 1)</f>
        <v>....Wholesale and retail trade; repair of motor vehicles and motorcycles</v>
      </c>
      <c r="C1737" s="1" t="str">
        <f t="shared" si="1"/>
        <v>Sub</v>
      </c>
      <c r="D1737" s="1">
        <f t="shared" si="2"/>
        <v>2022</v>
      </c>
      <c r="E1737" s="1" t="str">
        <f t="shared" si="3"/>
        <v>At Current Prices</v>
      </c>
      <c r="F1737" s="3">
        <v>1.02097911E8</v>
      </c>
    </row>
    <row r="1738" ht="15.75" customHeight="1">
      <c r="A1738" s="1" t="str">
        <f t="array" ref="A1738">INDEX(Reference!$A$2:$A$18, INT((ROW()-2)/(18*3*2)) + 1)</f>
        <v>Zamboanga Peninsula</v>
      </c>
      <c r="B1738" s="2" t="str">
        <f t="array" ref="B1738">INDEX(Reference!$C$2:$C$19, MOD(ROW()-2, 18) + 1)</f>
        <v>....Transportation and storage</v>
      </c>
      <c r="C1738" s="1" t="str">
        <f t="shared" si="1"/>
        <v>Sub</v>
      </c>
      <c r="D1738" s="1">
        <f t="shared" si="2"/>
        <v>2022</v>
      </c>
      <c r="E1738" s="1" t="str">
        <f t="shared" si="3"/>
        <v>At Current Prices</v>
      </c>
      <c r="F1738" s="3">
        <v>1.5402689E7</v>
      </c>
    </row>
    <row r="1739" ht="15.75" customHeight="1">
      <c r="A1739" s="1" t="str">
        <f t="array" ref="A1739">INDEX(Reference!$A$2:$A$18, INT((ROW()-2)/(18*3*2)) + 1)</f>
        <v>Zamboanga Peninsula</v>
      </c>
      <c r="B1739" s="2" t="str">
        <f t="array" ref="B1739">INDEX(Reference!$C$2:$C$19, MOD(ROW()-2, 18) + 1)</f>
        <v>....Accommodation and food service activities</v>
      </c>
      <c r="C1739" s="1" t="str">
        <f t="shared" si="1"/>
        <v>Sub</v>
      </c>
      <c r="D1739" s="1">
        <f t="shared" si="2"/>
        <v>2022</v>
      </c>
      <c r="E1739" s="1" t="str">
        <f t="shared" si="3"/>
        <v>At Current Prices</v>
      </c>
      <c r="F1739" s="3">
        <v>5827674.0</v>
      </c>
    </row>
    <row r="1740" ht="15.75" customHeight="1">
      <c r="A1740" s="1" t="str">
        <f t="array" ref="A1740">INDEX(Reference!$A$2:$A$18, INT((ROW()-2)/(18*3*2)) + 1)</f>
        <v>Zamboanga Peninsula</v>
      </c>
      <c r="B1740" s="2" t="str">
        <f t="array" ref="B1740">INDEX(Reference!$C$2:$C$19, MOD(ROW()-2, 18) + 1)</f>
        <v>....Information and communication</v>
      </c>
      <c r="C1740" s="1" t="str">
        <f t="shared" si="1"/>
        <v>Sub</v>
      </c>
      <c r="D1740" s="1">
        <f t="shared" si="2"/>
        <v>2022</v>
      </c>
      <c r="E1740" s="1" t="str">
        <f t="shared" si="3"/>
        <v>At Current Prices</v>
      </c>
      <c r="F1740" s="3">
        <v>1.2865305E7</v>
      </c>
    </row>
    <row r="1741" ht="15.75" customHeight="1">
      <c r="A1741" s="1" t="str">
        <f t="array" ref="A1741">INDEX(Reference!$A$2:$A$18, INT((ROW()-2)/(18*3*2)) + 1)</f>
        <v>Zamboanga Peninsula</v>
      </c>
      <c r="B1741" s="2" t="str">
        <f t="array" ref="B1741">INDEX(Reference!$C$2:$C$19, MOD(ROW()-2, 18) + 1)</f>
        <v>....Financial and insurance activities</v>
      </c>
      <c r="C1741" s="1" t="str">
        <f t="shared" si="1"/>
        <v>Sub</v>
      </c>
      <c r="D1741" s="1">
        <f t="shared" si="2"/>
        <v>2022</v>
      </c>
      <c r="E1741" s="1" t="str">
        <f t="shared" si="3"/>
        <v>At Current Prices</v>
      </c>
      <c r="F1741" s="3">
        <v>1.9015941E7</v>
      </c>
    </row>
    <row r="1742" ht="15.75" customHeight="1">
      <c r="A1742" s="1" t="str">
        <f t="array" ref="A1742">INDEX(Reference!$A$2:$A$18, INT((ROW()-2)/(18*3*2)) + 1)</f>
        <v>Zamboanga Peninsula</v>
      </c>
      <c r="B1742" s="2" t="str">
        <f t="array" ref="B1742">INDEX(Reference!$C$2:$C$19, MOD(ROW()-2, 18) + 1)</f>
        <v>....Real estate and ownership of dwellings</v>
      </c>
      <c r="C1742" s="1" t="str">
        <f t="shared" si="1"/>
        <v>Sub</v>
      </c>
      <c r="D1742" s="1">
        <f t="shared" si="2"/>
        <v>2022</v>
      </c>
      <c r="E1742" s="1" t="str">
        <f t="shared" si="3"/>
        <v>At Current Prices</v>
      </c>
      <c r="F1742" s="3">
        <v>1.8234779E7</v>
      </c>
    </row>
    <row r="1743" ht="15.75" customHeight="1">
      <c r="A1743" s="1" t="str">
        <f t="array" ref="A1743">INDEX(Reference!$A$2:$A$18, INT((ROW()-2)/(18*3*2)) + 1)</f>
        <v>Zamboanga Peninsula</v>
      </c>
      <c r="B1743" s="2" t="str">
        <f t="array" ref="B1743">INDEX(Reference!$C$2:$C$19, MOD(ROW()-2, 18) + 1)</f>
        <v>....Professional and business services</v>
      </c>
      <c r="C1743" s="1" t="str">
        <f t="shared" si="1"/>
        <v>Sub</v>
      </c>
      <c r="D1743" s="1">
        <f t="shared" si="2"/>
        <v>2022</v>
      </c>
      <c r="E1743" s="1" t="str">
        <f t="shared" si="3"/>
        <v>At Current Prices</v>
      </c>
      <c r="F1743" s="3">
        <v>3555222.0</v>
      </c>
    </row>
    <row r="1744" ht="15.75" customHeight="1">
      <c r="A1744" s="1" t="str">
        <f t="array" ref="A1744">INDEX(Reference!$A$2:$A$18, INT((ROW()-2)/(18*3*2)) + 1)</f>
        <v>Zamboanga Peninsula</v>
      </c>
      <c r="B1744" s="2" t="str">
        <f t="array" ref="B1744">INDEX(Reference!$C$2:$C$19, MOD(ROW()-2, 18) + 1)</f>
        <v>....Public administration and defense; compulsory social activities</v>
      </c>
      <c r="C1744" s="1" t="str">
        <f t="shared" si="1"/>
        <v>Sub</v>
      </c>
      <c r="D1744" s="1">
        <f t="shared" si="2"/>
        <v>2022</v>
      </c>
      <c r="E1744" s="1" t="str">
        <f t="shared" si="3"/>
        <v>At Current Prices</v>
      </c>
      <c r="F1744" s="3">
        <v>1.9462275E7</v>
      </c>
    </row>
    <row r="1745" ht="15.75" customHeight="1">
      <c r="A1745" s="1" t="str">
        <f t="array" ref="A1745">INDEX(Reference!$A$2:$A$18, INT((ROW()-2)/(18*3*2)) + 1)</f>
        <v>Zamboanga Peninsula</v>
      </c>
      <c r="B1745" s="2" t="str">
        <f t="array" ref="B1745">INDEX(Reference!$C$2:$C$19, MOD(ROW()-2, 18) + 1)</f>
        <v>....Education</v>
      </c>
      <c r="C1745" s="1" t="str">
        <f t="shared" si="1"/>
        <v>Sub</v>
      </c>
      <c r="D1745" s="1">
        <f t="shared" si="2"/>
        <v>2022</v>
      </c>
      <c r="E1745" s="1" t="str">
        <f t="shared" si="3"/>
        <v>At Current Prices</v>
      </c>
      <c r="F1745" s="3">
        <v>3.1370944E7</v>
      </c>
    </row>
    <row r="1746" ht="15.75" customHeight="1">
      <c r="A1746" s="1" t="str">
        <f t="array" ref="A1746">INDEX(Reference!$A$2:$A$18, INT((ROW()-2)/(18*3*2)) + 1)</f>
        <v>Zamboanga Peninsula</v>
      </c>
      <c r="B1746" s="2" t="str">
        <f t="array" ref="B1746">INDEX(Reference!$C$2:$C$19, MOD(ROW()-2, 18) + 1)</f>
        <v>....Human health and social work activities</v>
      </c>
      <c r="C1746" s="1" t="str">
        <f t="shared" si="1"/>
        <v>Sub</v>
      </c>
      <c r="D1746" s="1">
        <f t="shared" si="2"/>
        <v>2022</v>
      </c>
      <c r="E1746" s="1" t="str">
        <f t="shared" si="3"/>
        <v>At Current Prices</v>
      </c>
      <c r="F1746" s="3">
        <v>1.2209719E7</v>
      </c>
    </row>
    <row r="1747" ht="15.75" customHeight="1">
      <c r="A1747" s="1" t="str">
        <f t="array" ref="A1747">INDEX(Reference!$A$2:$A$18, INT((ROW()-2)/(18*3*2)) + 1)</f>
        <v>Zamboanga Peninsula</v>
      </c>
      <c r="B1747" s="2" t="str">
        <f t="array" ref="B1747">INDEX(Reference!$C$2:$C$19, MOD(ROW()-2, 18) + 1)</f>
        <v>....Other services</v>
      </c>
      <c r="C1747" s="1" t="str">
        <f t="shared" si="1"/>
        <v>Sub</v>
      </c>
      <c r="D1747" s="1">
        <f t="shared" si="2"/>
        <v>2022</v>
      </c>
      <c r="E1747" s="1" t="str">
        <f t="shared" si="3"/>
        <v>At Current Prices</v>
      </c>
      <c r="F1747" s="3">
        <v>2650305.0</v>
      </c>
    </row>
    <row r="1748" ht="15.75" customHeight="1">
      <c r="A1748" s="1" t="str">
        <f t="array" ref="A1748">INDEX(Reference!$A$2:$A$18, INT((ROW()-2)/(18*3*2)) + 1)</f>
        <v>Zamboanga Peninsula</v>
      </c>
      <c r="B1748" s="2" t="str">
        <f t="array" ref="B1748">INDEX(Reference!$C$2:$C$19, MOD(ROW()-2, 18) + 1)</f>
        <v>..Agriculture, forestry, and fishing</v>
      </c>
      <c r="C1748" s="1" t="str">
        <f t="shared" si="1"/>
        <v>Main</v>
      </c>
      <c r="D1748" s="1">
        <f t="shared" si="2"/>
        <v>2023</v>
      </c>
      <c r="E1748" s="1" t="str">
        <f t="shared" si="3"/>
        <v>At Current Prices</v>
      </c>
      <c r="F1748" s="3">
        <v>9.7661727E7</v>
      </c>
    </row>
    <row r="1749" ht="15.75" customHeight="1">
      <c r="A1749" s="1" t="str">
        <f t="array" ref="A1749">INDEX(Reference!$A$2:$A$18, INT((ROW()-2)/(18*3*2)) + 1)</f>
        <v>Zamboanga Peninsula</v>
      </c>
      <c r="B1749" s="2" t="str">
        <f t="array" ref="B1749">INDEX(Reference!$C$2:$C$19, MOD(ROW()-2, 18) + 1)</f>
        <v>..Industry</v>
      </c>
      <c r="C1749" s="1" t="str">
        <f t="shared" si="1"/>
        <v>Main</v>
      </c>
      <c r="D1749" s="1">
        <f t="shared" si="2"/>
        <v>2023</v>
      </c>
      <c r="E1749" s="1" t="str">
        <f t="shared" si="3"/>
        <v>At Current Prices</v>
      </c>
      <c r="F1749" s="3">
        <v>1.61741452E8</v>
      </c>
    </row>
    <row r="1750" ht="15.75" customHeight="1">
      <c r="A1750" s="1" t="str">
        <f t="array" ref="A1750">INDEX(Reference!$A$2:$A$18, INT((ROW()-2)/(18*3*2)) + 1)</f>
        <v>Zamboanga Peninsula</v>
      </c>
      <c r="B1750" s="2" t="str">
        <f t="array" ref="B1750">INDEX(Reference!$C$2:$C$19, MOD(ROW()-2, 18) + 1)</f>
        <v>....Mining and quarrying</v>
      </c>
      <c r="C1750" s="1" t="str">
        <f t="shared" si="1"/>
        <v>Sub</v>
      </c>
      <c r="D1750" s="1">
        <f t="shared" si="2"/>
        <v>2023</v>
      </c>
      <c r="E1750" s="1" t="str">
        <f t="shared" si="3"/>
        <v>At Current Prices</v>
      </c>
      <c r="F1750" s="3">
        <v>1449489.0</v>
      </c>
    </row>
    <row r="1751" ht="15.75" customHeight="1">
      <c r="A1751" s="1" t="str">
        <f t="array" ref="A1751">INDEX(Reference!$A$2:$A$18, INT((ROW()-2)/(18*3*2)) + 1)</f>
        <v>Zamboanga Peninsula</v>
      </c>
      <c r="B1751" s="2" t="str">
        <f t="array" ref="B1751">INDEX(Reference!$C$2:$C$19, MOD(ROW()-2, 18) + 1)</f>
        <v>....Manufacturing</v>
      </c>
      <c r="C1751" s="1" t="str">
        <f t="shared" si="1"/>
        <v>Sub</v>
      </c>
      <c r="D1751" s="1">
        <f t="shared" si="2"/>
        <v>2023</v>
      </c>
      <c r="E1751" s="1" t="str">
        <f t="shared" si="3"/>
        <v>At Current Prices</v>
      </c>
      <c r="F1751" s="3">
        <v>9.0082584E7</v>
      </c>
    </row>
    <row r="1752" ht="15.75" customHeight="1">
      <c r="A1752" s="1" t="str">
        <f t="array" ref="A1752">INDEX(Reference!$A$2:$A$18, INT((ROW()-2)/(18*3*2)) + 1)</f>
        <v>Zamboanga Peninsula</v>
      </c>
      <c r="B1752" s="2" t="str">
        <f t="array" ref="B1752">INDEX(Reference!$C$2:$C$19, MOD(ROW()-2, 18) + 1)</f>
        <v>....Electricity, steam, water and waste management</v>
      </c>
      <c r="C1752" s="1" t="str">
        <f t="shared" si="1"/>
        <v>Sub</v>
      </c>
      <c r="D1752" s="1">
        <f t="shared" si="2"/>
        <v>2023</v>
      </c>
      <c r="E1752" s="1" t="str">
        <f t="shared" si="3"/>
        <v>At Current Prices</v>
      </c>
      <c r="F1752" s="3">
        <v>5925058.0</v>
      </c>
    </row>
    <row r="1753" ht="15.75" customHeight="1">
      <c r="A1753" s="1" t="str">
        <f t="array" ref="A1753">INDEX(Reference!$A$2:$A$18, INT((ROW()-2)/(18*3*2)) + 1)</f>
        <v>Zamboanga Peninsula</v>
      </c>
      <c r="B1753" s="2" t="str">
        <f t="array" ref="B1753">INDEX(Reference!$C$2:$C$19, MOD(ROW()-2, 18) + 1)</f>
        <v>....Construction</v>
      </c>
      <c r="C1753" s="1" t="str">
        <f t="shared" si="1"/>
        <v>Sub</v>
      </c>
      <c r="D1753" s="1">
        <f t="shared" si="2"/>
        <v>2023</v>
      </c>
      <c r="E1753" s="1" t="str">
        <f t="shared" si="3"/>
        <v>At Current Prices</v>
      </c>
      <c r="F1753" s="3">
        <v>6.4284321E7</v>
      </c>
    </row>
    <row r="1754" ht="15.75" customHeight="1">
      <c r="A1754" s="1" t="str">
        <f t="array" ref="A1754">INDEX(Reference!$A$2:$A$18, INT((ROW()-2)/(18*3*2)) + 1)</f>
        <v>Zamboanga Peninsula</v>
      </c>
      <c r="B1754" s="2" t="str">
        <f t="array" ref="B1754">INDEX(Reference!$C$2:$C$19, MOD(ROW()-2, 18) + 1)</f>
        <v>..Services</v>
      </c>
      <c r="C1754" s="1" t="str">
        <f t="shared" si="1"/>
        <v>Main</v>
      </c>
      <c r="D1754" s="1">
        <f t="shared" si="2"/>
        <v>2023</v>
      </c>
      <c r="E1754" s="1" t="str">
        <f t="shared" si="3"/>
        <v>At Current Prices</v>
      </c>
      <c r="F1754" s="3">
        <v>2.7210986E8</v>
      </c>
    </row>
    <row r="1755" ht="15.75" customHeight="1">
      <c r="A1755" s="1" t="str">
        <f t="array" ref="A1755">INDEX(Reference!$A$2:$A$18, INT((ROW()-2)/(18*3*2)) + 1)</f>
        <v>Zamboanga Peninsula</v>
      </c>
      <c r="B1755" s="2" t="str">
        <f t="array" ref="B1755">INDEX(Reference!$C$2:$C$19, MOD(ROW()-2, 18) + 1)</f>
        <v>....Wholesale and retail trade; repair of motor vehicles and motorcycles</v>
      </c>
      <c r="C1755" s="1" t="str">
        <f t="shared" si="1"/>
        <v>Sub</v>
      </c>
      <c r="D1755" s="1">
        <f t="shared" si="2"/>
        <v>2023</v>
      </c>
      <c r="E1755" s="1" t="str">
        <f t="shared" si="3"/>
        <v>At Current Prices</v>
      </c>
      <c r="F1755" s="3">
        <v>1.13790486E8</v>
      </c>
    </row>
    <row r="1756" ht="15.75" customHeight="1">
      <c r="A1756" s="1" t="str">
        <f t="array" ref="A1756">INDEX(Reference!$A$2:$A$18, INT((ROW()-2)/(18*3*2)) + 1)</f>
        <v>Zamboanga Peninsula</v>
      </c>
      <c r="B1756" s="2" t="str">
        <f t="array" ref="B1756">INDEX(Reference!$C$2:$C$19, MOD(ROW()-2, 18) + 1)</f>
        <v>....Transportation and storage</v>
      </c>
      <c r="C1756" s="1" t="str">
        <f t="shared" si="1"/>
        <v>Sub</v>
      </c>
      <c r="D1756" s="1">
        <f t="shared" si="2"/>
        <v>2023</v>
      </c>
      <c r="E1756" s="1" t="str">
        <f t="shared" si="3"/>
        <v>At Current Prices</v>
      </c>
      <c r="F1756" s="3">
        <v>1.9667554E7</v>
      </c>
    </row>
    <row r="1757" ht="15.75" customHeight="1">
      <c r="A1757" s="1" t="str">
        <f t="array" ref="A1757">INDEX(Reference!$A$2:$A$18, INT((ROW()-2)/(18*3*2)) + 1)</f>
        <v>Zamboanga Peninsula</v>
      </c>
      <c r="B1757" s="2" t="str">
        <f t="array" ref="B1757">INDEX(Reference!$C$2:$C$19, MOD(ROW()-2, 18) + 1)</f>
        <v>....Accommodation and food service activities</v>
      </c>
      <c r="C1757" s="1" t="str">
        <f t="shared" si="1"/>
        <v>Sub</v>
      </c>
      <c r="D1757" s="1">
        <f t="shared" si="2"/>
        <v>2023</v>
      </c>
      <c r="E1757" s="1" t="str">
        <f t="shared" si="3"/>
        <v>At Current Prices</v>
      </c>
      <c r="F1757" s="3">
        <v>7041595.0</v>
      </c>
    </row>
    <row r="1758" ht="15.75" customHeight="1">
      <c r="A1758" s="1" t="str">
        <f t="array" ref="A1758">INDEX(Reference!$A$2:$A$18, INT((ROW()-2)/(18*3*2)) + 1)</f>
        <v>Zamboanga Peninsula</v>
      </c>
      <c r="B1758" s="2" t="str">
        <f t="array" ref="B1758">INDEX(Reference!$C$2:$C$19, MOD(ROW()-2, 18) + 1)</f>
        <v>....Information and communication</v>
      </c>
      <c r="C1758" s="1" t="str">
        <f t="shared" si="1"/>
        <v>Sub</v>
      </c>
      <c r="D1758" s="1">
        <f t="shared" si="2"/>
        <v>2023</v>
      </c>
      <c r="E1758" s="1" t="str">
        <f t="shared" si="3"/>
        <v>At Current Prices</v>
      </c>
      <c r="F1758" s="3">
        <v>1.383737E7</v>
      </c>
    </row>
    <row r="1759" ht="15.75" customHeight="1">
      <c r="A1759" s="1" t="str">
        <f t="array" ref="A1759">INDEX(Reference!$A$2:$A$18, INT((ROW()-2)/(18*3*2)) + 1)</f>
        <v>Zamboanga Peninsula</v>
      </c>
      <c r="B1759" s="2" t="str">
        <f t="array" ref="B1759">INDEX(Reference!$C$2:$C$19, MOD(ROW()-2, 18) + 1)</f>
        <v>....Financial and insurance activities</v>
      </c>
      <c r="C1759" s="1" t="str">
        <f t="shared" si="1"/>
        <v>Sub</v>
      </c>
      <c r="D1759" s="1">
        <f t="shared" si="2"/>
        <v>2023</v>
      </c>
      <c r="E1759" s="1" t="str">
        <f t="shared" si="3"/>
        <v>At Current Prices</v>
      </c>
      <c r="F1759" s="3">
        <v>2.218663E7</v>
      </c>
    </row>
    <row r="1760" ht="15.75" customHeight="1">
      <c r="A1760" s="1" t="str">
        <f t="array" ref="A1760">INDEX(Reference!$A$2:$A$18, INT((ROW()-2)/(18*3*2)) + 1)</f>
        <v>Zamboanga Peninsula</v>
      </c>
      <c r="B1760" s="2" t="str">
        <f t="array" ref="B1760">INDEX(Reference!$C$2:$C$19, MOD(ROW()-2, 18) + 1)</f>
        <v>....Real estate and ownership of dwellings</v>
      </c>
      <c r="C1760" s="1" t="str">
        <f t="shared" si="1"/>
        <v>Sub</v>
      </c>
      <c r="D1760" s="1">
        <f t="shared" si="2"/>
        <v>2023</v>
      </c>
      <c r="E1760" s="1" t="str">
        <f t="shared" si="3"/>
        <v>At Current Prices</v>
      </c>
      <c r="F1760" s="3">
        <v>1.9517188E7</v>
      </c>
    </row>
    <row r="1761" ht="15.75" customHeight="1">
      <c r="A1761" s="1" t="str">
        <f t="array" ref="A1761">INDEX(Reference!$A$2:$A$18, INT((ROW()-2)/(18*3*2)) + 1)</f>
        <v>Zamboanga Peninsula</v>
      </c>
      <c r="B1761" s="2" t="str">
        <f t="array" ref="B1761">INDEX(Reference!$C$2:$C$19, MOD(ROW()-2, 18) + 1)</f>
        <v>....Professional and business services</v>
      </c>
      <c r="C1761" s="1" t="str">
        <f t="shared" si="1"/>
        <v>Sub</v>
      </c>
      <c r="D1761" s="1">
        <f t="shared" si="2"/>
        <v>2023</v>
      </c>
      <c r="E1761" s="1" t="str">
        <f t="shared" si="3"/>
        <v>At Current Prices</v>
      </c>
      <c r="F1761" s="3">
        <v>3971750.0</v>
      </c>
    </row>
    <row r="1762" ht="15.75" customHeight="1">
      <c r="A1762" s="1" t="str">
        <f t="array" ref="A1762">INDEX(Reference!$A$2:$A$18, INT((ROW()-2)/(18*3*2)) + 1)</f>
        <v>Zamboanga Peninsula</v>
      </c>
      <c r="B1762" s="2" t="str">
        <f t="array" ref="B1762">INDEX(Reference!$C$2:$C$19, MOD(ROW()-2, 18) + 1)</f>
        <v>....Public administration and defense; compulsory social activities</v>
      </c>
      <c r="C1762" s="1" t="str">
        <f t="shared" si="1"/>
        <v>Sub</v>
      </c>
      <c r="D1762" s="1">
        <f t="shared" si="2"/>
        <v>2023</v>
      </c>
      <c r="E1762" s="1" t="str">
        <f t="shared" si="3"/>
        <v>At Current Prices</v>
      </c>
      <c r="F1762" s="3">
        <v>2.0997563E7</v>
      </c>
    </row>
    <row r="1763" ht="15.75" customHeight="1">
      <c r="A1763" s="1" t="str">
        <f t="array" ref="A1763">INDEX(Reference!$A$2:$A$18, INT((ROW()-2)/(18*3*2)) + 1)</f>
        <v>Zamboanga Peninsula</v>
      </c>
      <c r="B1763" s="2" t="str">
        <f t="array" ref="B1763">INDEX(Reference!$C$2:$C$19, MOD(ROW()-2, 18) + 1)</f>
        <v>....Education</v>
      </c>
      <c r="C1763" s="1" t="str">
        <f t="shared" si="1"/>
        <v>Sub</v>
      </c>
      <c r="D1763" s="1">
        <f t="shared" si="2"/>
        <v>2023</v>
      </c>
      <c r="E1763" s="1" t="str">
        <f t="shared" si="3"/>
        <v>At Current Prices</v>
      </c>
      <c r="F1763" s="3">
        <v>3.4267316E7</v>
      </c>
    </row>
    <row r="1764" ht="15.75" customHeight="1">
      <c r="A1764" s="1" t="str">
        <f t="array" ref="A1764">INDEX(Reference!$A$2:$A$18, INT((ROW()-2)/(18*3*2)) + 1)</f>
        <v>Zamboanga Peninsula</v>
      </c>
      <c r="B1764" s="2" t="str">
        <f t="array" ref="B1764">INDEX(Reference!$C$2:$C$19, MOD(ROW()-2, 18) + 1)</f>
        <v>....Human health and social work activities</v>
      </c>
      <c r="C1764" s="1" t="str">
        <f t="shared" si="1"/>
        <v>Sub</v>
      </c>
      <c r="D1764" s="1">
        <f t="shared" si="2"/>
        <v>2023</v>
      </c>
      <c r="E1764" s="1" t="str">
        <f t="shared" si="3"/>
        <v>At Current Prices</v>
      </c>
      <c r="F1764" s="3">
        <v>1.339485E7</v>
      </c>
    </row>
    <row r="1765" ht="15.75" customHeight="1">
      <c r="A1765" s="1" t="str">
        <f t="array" ref="A1765">INDEX(Reference!$A$2:$A$18, INT((ROW()-2)/(18*3*2)) + 1)</f>
        <v>Zamboanga Peninsula</v>
      </c>
      <c r="B1765" s="2" t="str">
        <f t="array" ref="B1765">INDEX(Reference!$C$2:$C$19, MOD(ROW()-2, 18) + 1)</f>
        <v>....Other services</v>
      </c>
      <c r="C1765" s="1" t="str">
        <f t="shared" si="1"/>
        <v>Sub</v>
      </c>
      <c r="D1765" s="1">
        <f t="shared" si="2"/>
        <v>2023</v>
      </c>
      <c r="E1765" s="1" t="str">
        <f t="shared" si="3"/>
        <v>At Current Prices</v>
      </c>
      <c r="F1765" s="3">
        <v>3437559.0</v>
      </c>
    </row>
    <row r="1766" ht="15.75" customHeight="1">
      <c r="A1766" s="1" t="str">
        <f t="array" ref="A1766">INDEX(Reference!$A$2:$A$18, INT((ROW()-2)/(18*3*2)) + 1)</f>
        <v>Zamboanga Peninsula</v>
      </c>
      <c r="B1766" s="2" t="str">
        <f t="array" ref="B1766">INDEX(Reference!$C$2:$C$19, MOD(ROW()-2, 18) + 1)</f>
        <v>..Agriculture, forestry, and fishing</v>
      </c>
      <c r="C1766" s="1" t="str">
        <f t="shared" si="1"/>
        <v>Main</v>
      </c>
      <c r="D1766" s="1">
        <f t="shared" si="2"/>
        <v>2024</v>
      </c>
      <c r="E1766" s="1" t="str">
        <f t="shared" si="3"/>
        <v>At Current Prices</v>
      </c>
      <c r="F1766" s="3">
        <v>1.10465943E8</v>
      </c>
    </row>
    <row r="1767" ht="15.75" customHeight="1">
      <c r="A1767" s="1" t="str">
        <f t="array" ref="A1767">INDEX(Reference!$A$2:$A$18, INT((ROW()-2)/(18*3*2)) + 1)</f>
        <v>Zamboanga Peninsula</v>
      </c>
      <c r="B1767" s="2" t="str">
        <f t="array" ref="B1767">INDEX(Reference!$C$2:$C$19, MOD(ROW()-2, 18) + 1)</f>
        <v>..Industry</v>
      </c>
      <c r="C1767" s="1" t="str">
        <f t="shared" si="1"/>
        <v>Main</v>
      </c>
      <c r="D1767" s="1">
        <f t="shared" si="2"/>
        <v>2024</v>
      </c>
      <c r="E1767" s="1" t="str">
        <f t="shared" si="3"/>
        <v>At Current Prices</v>
      </c>
      <c r="F1767" s="3">
        <v>1.73416282E8</v>
      </c>
    </row>
    <row r="1768" ht="15.75" customHeight="1">
      <c r="A1768" s="1" t="str">
        <f t="array" ref="A1768">INDEX(Reference!$A$2:$A$18, INT((ROW()-2)/(18*3*2)) + 1)</f>
        <v>Zamboanga Peninsula</v>
      </c>
      <c r="B1768" s="2" t="str">
        <f t="array" ref="B1768">INDEX(Reference!$C$2:$C$19, MOD(ROW()-2, 18) + 1)</f>
        <v>....Mining and quarrying</v>
      </c>
      <c r="C1768" s="1" t="str">
        <f t="shared" si="1"/>
        <v>Sub</v>
      </c>
      <c r="D1768" s="1">
        <f t="shared" si="2"/>
        <v>2024</v>
      </c>
      <c r="E1768" s="1" t="str">
        <f t="shared" si="3"/>
        <v>At Current Prices</v>
      </c>
      <c r="F1768" s="3">
        <v>2004957.0</v>
      </c>
    </row>
    <row r="1769" ht="15.75" customHeight="1">
      <c r="A1769" s="1" t="str">
        <f t="array" ref="A1769">INDEX(Reference!$A$2:$A$18, INT((ROW()-2)/(18*3*2)) + 1)</f>
        <v>Zamboanga Peninsula</v>
      </c>
      <c r="B1769" s="2" t="str">
        <f t="array" ref="B1769">INDEX(Reference!$C$2:$C$19, MOD(ROW()-2, 18) + 1)</f>
        <v>....Manufacturing</v>
      </c>
      <c r="C1769" s="1" t="str">
        <f t="shared" si="1"/>
        <v>Sub</v>
      </c>
      <c r="D1769" s="1">
        <f t="shared" si="2"/>
        <v>2024</v>
      </c>
      <c r="E1769" s="1" t="str">
        <f t="shared" si="3"/>
        <v>At Current Prices</v>
      </c>
      <c r="F1769" s="3">
        <v>9.6614234E7</v>
      </c>
    </row>
    <row r="1770" ht="15.75" customHeight="1">
      <c r="A1770" s="1" t="str">
        <f t="array" ref="A1770">INDEX(Reference!$A$2:$A$18, INT((ROW()-2)/(18*3*2)) + 1)</f>
        <v>Zamboanga Peninsula</v>
      </c>
      <c r="B1770" s="2" t="str">
        <f t="array" ref="B1770">INDEX(Reference!$C$2:$C$19, MOD(ROW()-2, 18) + 1)</f>
        <v>....Electricity, steam, water and waste management</v>
      </c>
      <c r="C1770" s="1" t="str">
        <f t="shared" si="1"/>
        <v>Sub</v>
      </c>
      <c r="D1770" s="1">
        <f t="shared" si="2"/>
        <v>2024</v>
      </c>
      <c r="E1770" s="1" t="str">
        <f t="shared" si="3"/>
        <v>At Current Prices</v>
      </c>
      <c r="F1770" s="3">
        <v>6172764.0</v>
      </c>
    </row>
    <row r="1771" ht="15.75" customHeight="1">
      <c r="A1771" s="1" t="str">
        <f t="array" ref="A1771">INDEX(Reference!$A$2:$A$18, INT((ROW()-2)/(18*3*2)) + 1)</f>
        <v>Zamboanga Peninsula</v>
      </c>
      <c r="B1771" s="2" t="str">
        <f t="array" ref="B1771">INDEX(Reference!$C$2:$C$19, MOD(ROW()-2, 18) + 1)</f>
        <v>....Construction</v>
      </c>
      <c r="C1771" s="1" t="str">
        <f t="shared" si="1"/>
        <v>Sub</v>
      </c>
      <c r="D1771" s="1">
        <f t="shared" si="2"/>
        <v>2024</v>
      </c>
      <c r="E1771" s="1" t="str">
        <f t="shared" si="3"/>
        <v>At Current Prices</v>
      </c>
      <c r="F1771" s="3">
        <v>6.8624327E7</v>
      </c>
    </row>
    <row r="1772" ht="15.75" customHeight="1">
      <c r="A1772" s="1" t="str">
        <f t="array" ref="A1772">INDEX(Reference!$A$2:$A$18, INT((ROW()-2)/(18*3*2)) + 1)</f>
        <v>Zamboanga Peninsula</v>
      </c>
      <c r="B1772" s="2" t="str">
        <f t="array" ref="B1772">INDEX(Reference!$C$2:$C$19, MOD(ROW()-2, 18) + 1)</f>
        <v>..Services</v>
      </c>
      <c r="C1772" s="1" t="str">
        <f t="shared" si="1"/>
        <v>Main</v>
      </c>
      <c r="D1772" s="1">
        <f t="shared" si="2"/>
        <v>2024</v>
      </c>
      <c r="E1772" s="1" t="str">
        <f t="shared" si="3"/>
        <v>At Current Prices</v>
      </c>
      <c r="F1772" s="3">
        <v>2.98689E8</v>
      </c>
    </row>
    <row r="1773" ht="15.75" customHeight="1">
      <c r="A1773" s="1" t="str">
        <f t="array" ref="A1773">INDEX(Reference!$A$2:$A$18, INT((ROW()-2)/(18*3*2)) + 1)</f>
        <v>Zamboanga Peninsula</v>
      </c>
      <c r="B1773" s="2" t="str">
        <f t="array" ref="B1773">INDEX(Reference!$C$2:$C$19, MOD(ROW()-2, 18) + 1)</f>
        <v>....Wholesale and retail trade; repair of motor vehicles and motorcycles</v>
      </c>
      <c r="C1773" s="1" t="str">
        <f t="shared" si="1"/>
        <v>Sub</v>
      </c>
      <c r="D1773" s="1">
        <f t="shared" si="2"/>
        <v>2024</v>
      </c>
      <c r="E1773" s="1" t="str">
        <f t="shared" si="3"/>
        <v>At Current Prices</v>
      </c>
      <c r="F1773" s="3">
        <v>1.23811122E8</v>
      </c>
    </row>
    <row r="1774" ht="15.75" customHeight="1">
      <c r="A1774" s="1" t="str">
        <f t="array" ref="A1774">INDEX(Reference!$A$2:$A$18, INT((ROW()-2)/(18*3*2)) + 1)</f>
        <v>Zamboanga Peninsula</v>
      </c>
      <c r="B1774" s="2" t="str">
        <f t="array" ref="B1774">INDEX(Reference!$C$2:$C$19, MOD(ROW()-2, 18) + 1)</f>
        <v>....Transportation and storage</v>
      </c>
      <c r="C1774" s="1" t="str">
        <f t="shared" si="1"/>
        <v>Sub</v>
      </c>
      <c r="D1774" s="1">
        <f t="shared" si="2"/>
        <v>2024</v>
      </c>
      <c r="E1774" s="1" t="str">
        <f t="shared" si="3"/>
        <v>At Current Prices</v>
      </c>
      <c r="F1774" s="3">
        <v>2.2376434E7</v>
      </c>
    </row>
    <row r="1775" ht="15.75" customHeight="1">
      <c r="A1775" s="1" t="str">
        <f t="array" ref="A1775">INDEX(Reference!$A$2:$A$18, INT((ROW()-2)/(18*3*2)) + 1)</f>
        <v>Zamboanga Peninsula</v>
      </c>
      <c r="B1775" s="2" t="str">
        <f t="array" ref="B1775">INDEX(Reference!$C$2:$C$19, MOD(ROW()-2, 18) + 1)</f>
        <v>....Accommodation and food service activities</v>
      </c>
      <c r="C1775" s="1" t="str">
        <f t="shared" si="1"/>
        <v>Sub</v>
      </c>
      <c r="D1775" s="1">
        <f t="shared" si="2"/>
        <v>2024</v>
      </c>
      <c r="E1775" s="1" t="str">
        <f t="shared" si="3"/>
        <v>At Current Prices</v>
      </c>
      <c r="F1775" s="3">
        <v>8077895.0</v>
      </c>
    </row>
    <row r="1776" ht="15.75" customHeight="1">
      <c r="A1776" s="1" t="str">
        <f t="array" ref="A1776">INDEX(Reference!$A$2:$A$18, INT((ROW()-2)/(18*3*2)) + 1)</f>
        <v>Zamboanga Peninsula</v>
      </c>
      <c r="B1776" s="2" t="str">
        <f t="array" ref="B1776">INDEX(Reference!$C$2:$C$19, MOD(ROW()-2, 18) + 1)</f>
        <v>....Information and communication</v>
      </c>
      <c r="C1776" s="1" t="str">
        <f t="shared" si="1"/>
        <v>Sub</v>
      </c>
      <c r="D1776" s="1">
        <f t="shared" si="2"/>
        <v>2024</v>
      </c>
      <c r="E1776" s="1" t="str">
        <f t="shared" si="3"/>
        <v>At Current Prices</v>
      </c>
      <c r="F1776" s="3">
        <v>1.4551022E7</v>
      </c>
    </row>
    <row r="1777" ht="15.75" customHeight="1">
      <c r="A1777" s="1" t="str">
        <f t="array" ref="A1777">INDEX(Reference!$A$2:$A$18, INT((ROW()-2)/(18*3*2)) + 1)</f>
        <v>Zamboanga Peninsula</v>
      </c>
      <c r="B1777" s="2" t="str">
        <f t="array" ref="B1777">INDEX(Reference!$C$2:$C$19, MOD(ROW()-2, 18) + 1)</f>
        <v>....Financial and insurance activities</v>
      </c>
      <c r="C1777" s="1" t="str">
        <f t="shared" si="1"/>
        <v>Sub</v>
      </c>
      <c r="D1777" s="1">
        <f t="shared" si="2"/>
        <v>2024</v>
      </c>
      <c r="E1777" s="1" t="str">
        <f t="shared" si="3"/>
        <v>At Current Prices</v>
      </c>
      <c r="F1777" s="3">
        <v>2.5123522E7</v>
      </c>
    </row>
    <row r="1778" ht="15.75" customHeight="1">
      <c r="A1778" s="1" t="str">
        <f t="array" ref="A1778">INDEX(Reference!$A$2:$A$18, INT((ROW()-2)/(18*3*2)) + 1)</f>
        <v>Zamboanga Peninsula</v>
      </c>
      <c r="B1778" s="2" t="str">
        <f t="array" ref="B1778">INDEX(Reference!$C$2:$C$19, MOD(ROW()-2, 18) + 1)</f>
        <v>....Real estate and ownership of dwellings</v>
      </c>
      <c r="C1778" s="1" t="str">
        <f t="shared" si="1"/>
        <v>Sub</v>
      </c>
      <c r="D1778" s="1">
        <f t="shared" si="2"/>
        <v>2024</v>
      </c>
      <c r="E1778" s="1" t="str">
        <f t="shared" si="3"/>
        <v>At Current Prices</v>
      </c>
      <c r="F1778" s="3">
        <v>2.1578247E7</v>
      </c>
    </row>
    <row r="1779" ht="15.75" customHeight="1">
      <c r="A1779" s="1" t="str">
        <f t="array" ref="A1779">INDEX(Reference!$A$2:$A$18, INT((ROW()-2)/(18*3*2)) + 1)</f>
        <v>Zamboanga Peninsula</v>
      </c>
      <c r="B1779" s="2" t="str">
        <f t="array" ref="B1779">INDEX(Reference!$C$2:$C$19, MOD(ROW()-2, 18) + 1)</f>
        <v>....Professional and business services</v>
      </c>
      <c r="C1779" s="1" t="str">
        <f t="shared" si="1"/>
        <v>Sub</v>
      </c>
      <c r="D1779" s="1">
        <f t="shared" si="2"/>
        <v>2024</v>
      </c>
      <c r="E1779" s="1" t="str">
        <f t="shared" si="3"/>
        <v>At Current Prices</v>
      </c>
      <c r="F1779" s="3">
        <v>4678191.0</v>
      </c>
    </row>
    <row r="1780" ht="15.75" customHeight="1">
      <c r="A1780" s="1" t="str">
        <f t="array" ref="A1780">INDEX(Reference!$A$2:$A$18, INT((ROW()-2)/(18*3*2)) + 1)</f>
        <v>Zamboanga Peninsula</v>
      </c>
      <c r="B1780" s="2" t="str">
        <f t="array" ref="B1780">INDEX(Reference!$C$2:$C$19, MOD(ROW()-2, 18) + 1)</f>
        <v>....Public administration and defense; compulsory social activities</v>
      </c>
      <c r="C1780" s="1" t="str">
        <f t="shared" si="1"/>
        <v>Sub</v>
      </c>
      <c r="D1780" s="1">
        <f t="shared" si="2"/>
        <v>2024</v>
      </c>
      <c r="E1780" s="1" t="str">
        <f t="shared" si="3"/>
        <v>At Current Prices</v>
      </c>
      <c r="F1780" s="3">
        <v>2.2246945E7</v>
      </c>
    </row>
    <row r="1781" ht="15.75" customHeight="1">
      <c r="A1781" s="1" t="str">
        <f t="array" ref="A1781">INDEX(Reference!$A$2:$A$18, INT((ROW()-2)/(18*3*2)) + 1)</f>
        <v>Zamboanga Peninsula</v>
      </c>
      <c r="B1781" s="2" t="str">
        <f t="array" ref="B1781">INDEX(Reference!$C$2:$C$19, MOD(ROW()-2, 18) + 1)</f>
        <v>....Education</v>
      </c>
      <c r="C1781" s="1" t="str">
        <f t="shared" si="1"/>
        <v>Sub</v>
      </c>
      <c r="D1781" s="1">
        <f t="shared" si="2"/>
        <v>2024</v>
      </c>
      <c r="E1781" s="1" t="str">
        <f t="shared" si="3"/>
        <v>At Current Prices</v>
      </c>
      <c r="F1781" s="3">
        <v>3.6976677E7</v>
      </c>
    </row>
    <row r="1782" ht="15.75" customHeight="1">
      <c r="A1782" s="1" t="str">
        <f t="array" ref="A1782">INDEX(Reference!$A$2:$A$18, INT((ROW()-2)/(18*3*2)) + 1)</f>
        <v>Zamboanga Peninsula</v>
      </c>
      <c r="B1782" s="2" t="str">
        <f t="array" ref="B1782">INDEX(Reference!$C$2:$C$19, MOD(ROW()-2, 18) + 1)</f>
        <v>....Human health and social work activities</v>
      </c>
      <c r="C1782" s="1" t="str">
        <f t="shared" si="1"/>
        <v>Sub</v>
      </c>
      <c r="D1782" s="1">
        <f t="shared" si="2"/>
        <v>2024</v>
      </c>
      <c r="E1782" s="1" t="str">
        <f t="shared" si="3"/>
        <v>At Current Prices</v>
      </c>
      <c r="F1782" s="3">
        <v>1.5307568E7</v>
      </c>
    </row>
    <row r="1783" ht="15.75" customHeight="1">
      <c r="A1783" s="1" t="str">
        <f t="array" ref="A1783">INDEX(Reference!$A$2:$A$18, INT((ROW()-2)/(18*3*2)) + 1)</f>
        <v>Zamboanga Peninsula</v>
      </c>
      <c r="B1783" s="2" t="str">
        <f t="array" ref="B1783">INDEX(Reference!$C$2:$C$19, MOD(ROW()-2, 18) + 1)</f>
        <v>....Other services</v>
      </c>
      <c r="C1783" s="1" t="str">
        <f t="shared" si="1"/>
        <v>Sub</v>
      </c>
      <c r="D1783" s="1">
        <f t="shared" si="2"/>
        <v>2024</v>
      </c>
      <c r="E1783" s="1" t="str">
        <f t="shared" si="3"/>
        <v>At Current Prices</v>
      </c>
      <c r="F1783" s="3">
        <v>3961376.0</v>
      </c>
    </row>
    <row r="1784" ht="15.75" customHeight="1">
      <c r="A1784" s="1" t="str">
        <f t="array" ref="A1784">INDEX(Reference!$A$2:$A$18, INT((ROW()-2)/(18*3*2)) + 1)</f>
        <v>Zamboanga Peninsula</v>
      </c>
      <c r="B1784" s="2" t="str">
        <f t="array" ref="B1784">INDEX(Reference!$C$2:$C$19, MOD(ROW()-2, 18) + 1)</f>
        <v>..Agriculture, forestry, and fishing</v>
      </c>
      <c r="C1784" s="1" t="str">
        <f t="shared" si="1"/>
        <v>Main</v>
      </c>
      <c r="D1784" s="1">
        <f t="shared" si="2"/>
        <v>2022</v>
      </c>
      <c r="E1784" s="1" t="str">
        <f t="shared" si="3"/>
        <v>At Constant 2018 Prices</v>
      </c>
      <c r="F1784" s="3">
        <v>7.4784555E7</v>
      </c>
    </row>
    <row r="1785" ht="15.75" customHeight="1">
      <c r="A1785" s="1" t="str">
        <f t="array" ref="A1785">INDEX(Reference!$A$2:$A$18, INT((ROW()-2)/(18*3*2)) + 1)</f>
        <v>Zamboanga Peninsula</v>
      </c>
      <c r="B1785" s="2" t="str">
        <f t="array" ref="B1785">INDEX(Reference!$C$2:$C$19, MOD(ROW()-2, 18) + 1)</f>
        <v>..Industry</v>
      </c>
      <c r="C1785" s="1" t="str">
        <f t="shared" si="1"/>
        <v>Main</v>
      </c>
      <c r="D1785" s="1">
        <f t="shared" si="2"/>
        <v>2022</v>
      </c>
      <c r="E1785" s="1" t="str">
        <f t="shared" si="3"/>
        <v>At Constant 2018 Prices</v>
      </c>
      <c r="F1785" s="3">
        <v>1.26521615E8</v>
      </c>
    </row>
    <row r="1786" ht="15.75" customHeight="1">
      <c r="A1786" s="1" t="str">
        <f t="array" ref="A1786">INDEX(Reference!$A$2:$A$18, INT((ROW()-2)/(18*3*2)) + 1)</f>
        <v>Zamboanga Peninsula</v>
      </c>
      <c r="B1786" s="2" t="str">
        <f t="array" ref="B1786">INDEX(Reference!$C$2:$C$19, MOD(ROW()-2, 18) + 1)</f>
        <v>....Mining and quarrying</v>
      </c>
      <c r="C1786" s="1" t="str">
        <f t="shared" si="1"/>
        <v>Sub</v>
      </c>
      <c r="D1786" s="1">
        <f t="shared" si="2"/>
        <v>2022</v>
      </c>
      <c r="E1786" s="1" t="str">
        <f t="shared" si="3"/>
        <v>At Constant 2018 Prices</v>
      </c>
      <c r="F1786" s="3">
        <v>868793.0</v>
      </c>
    </row>
    <row r="1787" ht="15.75" customHeight="1">
      <c r="A1787" s="1" t="str">
        <f t="array" ref="A1787">INDEX(Reference!$A$2:$A$18, INT((ROW()-2)/(18*3*2)) + 1)</f>
        <v>Zamboanga Peninsula</v>
      </c>
      <c r="B1787" s="2" t="str">
        <f t="array" ref="B1787">INDEX(Reference!$C$2:$C$19, MOD(ROW()-2, 18) + 1)</f>
        <v>....Manufacturing</v>
      </c>
      <c r="C1787" s="1" t="str">
        <f t="shared" si="1"/>
        <v>Sub</v>
      </c>
      <c r="D1787" s="1">
        <f t="shared" si="2"/>
        <v>2022</v>
      </c>
      <c r="E1787" s="1" t="str">
        <f t="shared" si="3"/>
        <v>At Constant 2018 Prices</v>
      </c>
      <c r="F1787" s="3">
        <v>7.5783058E7</v>
      </c>
    </row>
    <row r="1788" ht="15.75" customHeight="1">
      <c r="A1788" s="1" t="str">
        <f t="array" ref="A1788">INDEX(Reference!$A$2:$A$18, INT((ROW()-2)/(18*3*2)) + 1)</f>
        <v>Zamboanga Peninsula</v>
      </c>
      <c r="B1788" s="2" t="str">
        <f t="array" ref="B1788">INDEX(Reference!$C$2:$C$19, MOD(ROW()-2, 18) + 1)</f>
        <v>....Electricity, steam, water and waste management</v>
      </c>
      <c r="C1788" s="1" t="str">
        <f t="shared" si="1"/>
        <v>Sub</v>
      </c>
      <c r="D1788" s="1">
        <f t="shared" si="2"/>
        <v>2022</v>
      </c>
      <c r="E1788" s="1" t="str">
        <f t="shared" si="3"/>
        <v>At Constant 2018 Prices</v>
      </c>
      <c r="F1788" s="3">
        <v>5241653.0</v>
      </c>
    </row>
    <row r="1789" ht="15.75" customHeight="1">
      <c r="A1789" s="1" t="str">
        <f t="array" ref="A1789">INDEX(Reference!$A$2:$A$18, INT((ROW()-2)/(18*3*2)) + 1)</f>
        <v>Zamboanga Peninsula</v>
      </c>
      <c r="B1789" s="2" t="str">
        <f t="array" ref="B1789">INDEX(Reference!$C$2:$C$19, MOD(ROW()-2, 18) + 1)</f>
        <v>....Construction</v>
      </c>
      <c r="C1789" s="1" t="str">
        <f t="shared" si="1"/>
        <v>Sub</v>
      </c>
      <c r="D1789" s="1">
        <f t="shared" si="2"/>
        <v>2022</v>
      </c>
      <c r="E1789" s="1" t="str">
        <f t="shared" si="3"/>
        <v>At Constant 2018 Prices</v>
      </c>
      <c r="F1789" s="3">
        <v>4.4628111E7</v>
      </c>
    </row>
    <row r="1790" ht="15.75" customHeight="1">
      <c r="A1790" s="1" t="str">
        <f t="array" ref="A1790">INDEX(Reference!$A$2:$A$18, INT((ROW()-2)/(18*3*2)) + 1)</f>
        <v>Zamboanga Peninsula</v>
      </c>
      <c r="B1790" s="2" t="str">
        <f t="array" ref="B1790">INDEX(Reference!$C$2:$C$19, MOD(ROW()-2, 18) + 1)</f>
        <v>..Services</v>
      </c>
      <c r="C1790" s="1" t="str">
        <f t="shared" si="1"/>
        <v>Main</v>
      </c>
      <c r="D1790" s="1">
        <f t="shared" si="2"/>
        <v>2022</v>
      </c>
      <c r="E1790" s="1" t="str">
        <f t="shared" si="3"/>
        <v>At Constant 2018 Prices</v>
      </c>
      <c r="F1790" s="3">
        <v>2.26364606E8</v>
      </c>
    </row>
    <row r="1791" ht="15.75" customHeight="1">
      <c r="A1791" s="1" t="str">
        <f t="array" ref="A1791">INDEX(Reference!$A$2:$A$18, INT((ROW()-2)/(18*3*2)) + 1)</f>
        <v>Zamboanga Peninsula</v>
      </c>
      <c r="B1791" s="2" t="str">
        <f t="array" ref="B1791">INDEX(Reference!$C$2:$C$19, MOD(ROW()-2, 18) + 1)</f>
        <v>....Wholesale and retail trade; repair of motor vehicles and motorcycles</v>
      </c>
      <c r="C1791" s="1" t="str">
        <f t="shared" si="1"/>
        <v>Sub</v>
      </c>
      <c r="D1791" s="1">
        <f t="shared" si="2"/>
        <v>2022</v>
      </c>
      <c r="E1791" s="1" t="str">
        <f t="shared" si="3"/>
        <v>At Constant 2018 Prices</v>
      </c>
      <c r="F1791" s="3">
        <v>9.6687404E7</v>
      </c>
    </row>
    <row r="1792" ht="15.75" customHeight="1">
      <c r="A1792" s="1" t="str">
        <f t="array" ref="A1792">INDEX(Reference!$A$2:$A$18, INT((ROW()-2)/(18*3*2)) + 1)</f>
        <v>Zamboanga Peninsula</v>
      </c>
      <c r="B1792" s="2" t="str">
        <f t="array" ref="B1792">INDEX(Reference!$C$2:$C$19, MOD(ROW()-2, 18) + 1)</f>
        <v>....Transportation and storage</v>
      </c>
      <c r="C1792" s="1" t="str">
        <f t="shared" si="1"/>
        <v>Sub</v>
      </c>
      <c r="D1792" s="1">
        <f t="shared" si="2"/>
        <v>2022</v>
      </c>
      <c r="E1792" s="1" t="str">
        <f t="shared" si="3"/>
        <v>At Constant 2018 Prices</v>
      </c>
      <c r="F1792" s="3">
        <v>1.3176531E7</v>
      </c>
    </row>
    <row r="1793" ht="15.75" customHeight="1">
      <c r="A1793" s="1" t="str">
        <f t="array" ref="A1793">INDEX(Reference!$A$2:$A$18, INT((ROW()-2)/(18*3*2)) + 1)</f>
        <v>Zamboanga Peninsula</v>
      </c>
      <c r="B1793" s="2" t="str">
        <f t="array" ref="B1793">INDEX(Reference!$C$2:$C$19, MOD(ROW()-2, 18) + 1)</f>
        <v>....Accommodation and food service activities</v>
      </c>
      <c r="C1793" s="1" t="str">
        <f t="shared" si="1"/>
        <v>Sub</v>
      </c>
      <c r="D1793" s="1">
        <f t="shared" si="2"/>
        <v>2022</v>
      </c>
      <c r="E1793" s="1" t="str">
        <f t="shared" si="3"/>
        <v>At Constant 2018 Prices</v>
      </c>
      <c r="F1793" s="3">
        <v>4745384.0</v>
      </c>
    </row>
    <row r="1794" ht="15.75" customHeight="1">
      <c r="A1794" s="1" t="str">
        <f t="array" ref="A1794">INDEX(Reference!$A$2:$A$18, INT((ROW()-2)/(18*3*2)) + 1)</f>
        <v>Zamboanga Peninsula</v>
      </c>
      <c r="B1794" s="2" t="str">
        <f t="array" ref="B1794">INDEX(Reference!$C$2:$C$19, MOD(ROW()-2, 18) + 1)</f>
        <v>....Information and communication</v>
      </c>
      <c r="C1794" s="1" t="str">
        <f t="shared" si="1"/>
        <v>Sub</v>
      </c>
      <c r="D1794" s="1">
        <f t="shared" si="2"/>
        <v>2022</v>
      </c>
      <c r="E1794" s="1" t="str">
        <f t="shared" si="3"/>
        <v>At Constant 2018 Prices</v>
      </c>
      <c r="F1794" s="3">
        <v>1.2812411E7</v>
      </c>
    </row>
    <row r="1795" ht="15.75" customHeight="1">
      <c r="A1795" s="1" t="str">
        <f t="array" ref="A1795">INDEX(Reference!$A$2:$A$18, INT((ROW()-2)/(18*3*2)) + 1)</f>
        <v>Zamboanga Peninsula</v>
      </c>
      <c r="B1795" s="2" t="str">
        <f t="array" ref="B1795">INDEX(Reference!$C$2:$C$19, MOD(ROW()-2, 18) + 1)</f>
        <v>....Financial and insurance activities</v>
      </c>
      <c r="C1795" s="1" t="str">
        <f t="shared" si="1"/>
        <v>Sub</v>
      </c>
      <c r="D1795" s="1">
        <f t="shared" si="2"/>
        <v>2022</v>
      </c>
      <c r="E1795" s="1" t="str">
        <f t="shared" si="3"/>
        <v>At Constant 2018 Prices</v>
      </c>
      <c r="F1795" s="3">
        <v>1.6739634E7</v>
      </c>
    </row>
    <row r="1796" ht="15.75" customHeight="1">
      <c r="A1796" s="1" t="str">
        <f t="array" ref="A1796">INDEX(Reference!$A$2:$A$18, INT((ROW()-2)/(18*3*2)) + 1)</f>
        <v>Zamboanga Peninsula</v>
      </c>
      <c r="B1796" s="2" t="str">
        <f t="array" ref="B1796">INDEX(Reference!$C$2:$C$19, MOD(ROW()-2, 18) + 1)</f>
        <v>....Real estate and ownership of dwellings</v>
      </c>
      <c r="C1796" s="1" t="str">
        <f t="shared" si="1"/>
        <v>Sub</v>
      </c>
      <c r="D1796" s="1">
        <f t="shared" si="2"/>
        <v>2022</v>
      </c>
      <c r="E1796" s="1" t="str">
        <f t="shared" si="3"/>
        <v>At Constant 2018 Prices</v>
      </c>
      <c r="F1796" s="3">
        <v>1.5210063E7</v>
      </c>
    </row>
    <row r="1797" ht="15.75" customHeight="1">
      <c r="A1797" s="1" t="str">
        <f t="array" ref="A1797">INDEX(Reference!$A$2:$A$18, INT((ROW()-2)/(18*3*2)) + 1)</f>
        <v>Zamboanga Peninsula</v>
      </c>
      <c r="B1797" s="2" t="str">
        <f t="array" ref="B1797">INDEX(Reference!$C$2:$C$19, MOD(ROW()-2, 18) + 1)</f>
        <v>....Professional and business services</v>
      </c>
      <c r="C1797" s="1" t="str">
        <f t="shared" si="1"/>
        <v>Sub</v>
      </c>
      <c r="D1797" s="1">
        <f t="shared" si="2"/>
        <v>2022</v>
      </c>
      <c r="E1797" s="1" t="str">
        <f t="shared" si="3"/>
        <v>At Constant 2018 Prices</v>
      </c>
      <c r="F1797" s="3">
        <v>3656304.0</v>
      </c>
    </row>
    <row r="1798" ht="15.75" customHeight="1">
      <c r="A1798" s="1" t="str">
        <f t="array" ref="A1798">INDEX(Reference!$A$2:$A$18, INT((ROW()-2)/(18*3*2)) + 1)</f>
        <v>Zamboanga Peninsula</v>
      </c>
      <c r="B1798" s="2" t="str">
        <f t="array" ref="B1798">INDEX(Reference!$C$2:$C$19, MOD(ROW()-2, 18) + 1)</f>
        <v>....Public administration and defense; compulsory social activities</v>
      </c>
      <c r="C1798" s="1" t="str">
        <f t="shared" si="1"/>
        <v>Sub</v>
      </c>
      <c r="D1798" s="1">
        <f t="shared" si="2"/>
        <v>2022</v>
      </c>
      <c r="E1798" s="1" t="str">
        <f t="shared" si="3"/>
        <v>At Constant 2018 Prices</v>
      </c>
      <c r="F1798" s="3">
        <v>1.7440582E7</v>
      </c>
    </row>
    <row r="1799" ht="15.75" customHeight="1">
      <c r="A1799" s="1" t="str">
        <f t="array" ref="A1799">INDEX(Reference!$A$2:$A$18, INT((ROW()-2)/(18*3*2)) + 1)</f>
        <v>Zamboanga Peninsula</v>
      </c>
      <c r="B1799" s="2" t="str">
        <f t="array" ref="B1799">INDEX(Reference!$C$2:$C$19, MOD(ROW()-2, 18) + 1)</f>
        <v>....Education</v>
      </c>
      <c r="C1799" s="1" t="str">
        <f t="shared" si="1"/>
        <v>Sub</v>
      </c>
      <c r="D1799" s="1">
        <f t="shared" si="2"/>
        <v>2022</v>
      </c>
      <c r="E1799" s="1" t="str">
        <f t="shared" si="3"/>
        <v>At Constant 2018 Prices</v>
      </c>
      <c r="F1799" s="3">
        <v>3.2363776E7</v>
      </c>
    </row>
    <row r="1800" ht="15.75" customHeight="1">
      <c r="A1800" s="1" t="str">
        <f t="array" ref="A1800">INDEX(Reference!$A$2:$A$18, INT((ROW()-2)/(18*3*2)) + 1)</f>
        <v>Zamboanga Peninsula</v>
      </c>
      <c r="B1800" s="2" t="str">
        <f t="array" ref="B1800">INDEX(Reference!$C$2:$C$19, MOD(ROW()-2, 18) + 1)</f>
        <v>....Human health and social work activities</v>
      </c>
      <c r="C1800" s="1" t="str">
        <f t="shared" si="1"/>
        <v>Sub</v>
      </c>
      <c r="D1800" s="1">
        <f t="shared" si="2"/>
        <v>2022</v>
      </c>
      <c r="E1800" s="1" t="str">
        <f t="shared" si="3"/>
        <v>At Constant 2018 Prices</v>
      </c>
      <c r="F1800" s="3">
        <v>1.1069696E7</v>
      </c>
    </row>
    <row r="1801" ht="15.75" customHeight="1">
      <c r="A1801" s="1" t="str">
        <f t="array" ref="A1801">INDEX(Reference!$A$2:$A$18, INT((ROW()-2)/(18*3*2)) + 1)</f>
        <v>Zamboanga Peninsula</v>
      </c>
      <c r="B1801" s="2" t="str">
        <f t="array" ref="B1801">INDEX(Reference!$C$2:$C$19, MOD(ROW()-2, 18) + 1)</f>
        <v>....Other services</v>
      </c>
      <c r="C1801" s="1" t="str">
        <f t="shared" si="1"/>
        <v>Sub</v>
      </c>
      <c r="D1801" s="1">
        <f t="shared" si="2"/>
        <v>2022</v>
      </c>
      <c r="E1801" s="1" t="str">
        <f t="shared" si="3"/>
        <v>At Constant 2018 Prices</v>
      </c>
      <c r="F1801" s="3">
        <v>2462821.0</v>
      </c>
    </row>
    <row r="1802" ht="15.75" customHeight="1">
      <c r="A1802" s="1" t="str">
        <f t="array" ref="A1802">INDEX(Reference!$A$2:$A$18, INT((ROW()-2)/(18*3*2)) + 1)</f>
        <v>Zamboanga Peninsula</v>
      </c>
      <c r="B1802" s="2" t="str">
        <f t="array" ref="B1802">INDEX(Reference!$C$2:$C$19, MOD(ROW()-2, 18) + 1)</f>
        <v>..Agriculture, forestry, and fishing</v>
      </c>
      <c r="C1802" s="1" t="str">
        <f t="shared" si="1"/>
        <v>Main</v>
      </c>
      <c r="D1802" s="1">
        <f t="shared" si="2"/>
        <v>2023</v>
      </c>
      <c r="E1802" s="1" t="str">
        <f t="shared" si="3"/>
        <v>At Constant 2018 Prices</v>
      </c>
      <c r="F1802" s="3">
        <v>7.6241054E7</v>
      </c>
    </row>
    <row r="1803" ht="15.75" customHeight="1">
      <c r="A1803" s="1" t="str">
        <f t="array" ref="A1803">INDEX(Reference!$A$2:$A$18, INT((ROW()-2)/(18*3*2)) + 1)</f>
        <v>Zamboanga Peninsula</v>
      </c>
      <c r="B1803" s="2" t="str">
        <f t="array" ref="B1803">INDEX(Reference!$C$2:$C$19, MOD(ROW()-2, 18) + 1)</f>
        <v>..Industry</v>
      </c>
      <c r="C1803" s="1" t="str">
        <f t="shared" si="1"/>
        <v>Main</v>
      </c>
      <c r="D1803" s="1">
        <f t="shared" si="2"/>
        <v>2023</v>
      </c>
      <c r="E1803" s="1" t="str">
        <f t="shared" si="3"/>
        <v>At Constant 2018 Prices</v>
      </c>
      <c r="F1803" s="3">
        <v>1.2885826E8</v>
      </c>
    </row>
    <row r="1804" ht="15.75" customHeight="1">
      <c r="A1804" s="1" t="str">
        <f t="array" ref="A1804">INDEX(Reference!$A$2:$A$18, INT((ROW()-2)/(18*3*2)) + 1)</f>
        <v>Zamboanga Peninsula</v>
      </c>
      <c r="B1804" s="2" t="str">
        <f t="array" ref="B1804">INDEX(Reference!$C$2:$C$19, MOD(ROW()-2, 18) + 1)</f>
        <v>....Mining and quarrying</v>
      </c>
      <c r="C1804" s="1" t="str">
        <f t="shared" si="1"/>
        <v>Sub</v>
      </c>
      <c r="D1804" s="1">
        <f t="shared" si="2"/>
        <v>2023</v>
      </c>
      <c r="E1804" s="1" t="str">
        <f t="shared" si="3"/>
        <v>At Constant 2018 Prices</v>
      </c>
      <c r="F1804" s="3">
        <v>963981.0</v>
      </c>
    </row>
    <row r="1805" ht="15.75" customHeight="1">
      <c r="A1805" s="1" t="str">
        <f t="array" ref="A1805">INDEX(Reference!$A$2:$A$18, INT((ROW()-2)/(18*3*2)) + 1)</f>
        <v>Zamboanga Peninsula</v>
      </c>
      <c r="B1805" s="2" t="str">
        <f t="array" ref="B1805">INDEX(Reference!$C$2:$C$19, MOD(ROW()-2, 18) + 1)</f>
        <v>....Manufacturing</v>
      </c>
      <c r="C1805" s="1" t="str">
        <f t="shared" si="1"/>
        <v>Sub</v>
      </c>
      <c r="D1805" s="1">
        <f t="shared" si="2"/>
        <v>2023</v>
      </c>
      <c r="E1805" s="1" t="str">
        <f t="shared" si="3"/>
        <v>At Constant 2018 Prices</v>
      </c>
      <c r="F1805" s="3">
        <v>7.0237763E7</v>
      </c>
    </row>
    <row r="1806" ht="15.75" customHeight="1">
      <c r="A1806" s="1" t="str">
        <f t="array" ref="A1806">INDEX(Reference!$A$2:$A$18, INT((ROW()-2)/(18*3*2)) + 1)</f>
        <v>Zamboanga Peninsula</v>
      </c>
      <c r="B1806" s="2" t="str">
        <f t="array" ref="B1806">INDEX(Reference!$C$2:$C$19, MOD(ROW()-2, 18) + 1)</f>
        <v>....Electricity, steam, water and waste management</v>
      </c>
      <c r="C1806" s="1" t="str">
        <f t="shared" si="1"/>
        <v>Sub</v>
      </c>
      <c r="D1806" s="1">
        <f t="shared" si="2"/>
        <v>2023</v>
      </c>
      <c r="E1806" s="1" t="str">
        <f t="shared" si="3"/>
        <v>At Constant 2018 Prices</v>
      </c>
      <c r="F1806" s="3">
        <v>5332516.0</v>
      </c>
    </row>
    <row r="1807" ht="15.75" customHeight="1">
      <c r="A1807" s="1" t="str">
        <f t="array" ref="A1807">INDEX(Reference!$A$2:$A$18, INT((ROW()-2)/(18*3*2)) + 1)</f>
        <v>Zamboanga Peninsula</v>
      </c>
      <c r="B1807" s="2" t="str">
        <f t="array" ref="B1807">INDEX(Reference!$C$2:$C$19, MOD(ROW()-2, 18) + 1)</f>
        <v>....Construction</v>
      </c>
      <c r="C1807" s="1" t="str">
        <f t="shared" si="1"/>
        <v>Sub</v>
      </c>
      <c r="D1807" s="1">
        <f t="shared" si="2"/>
        <v>2023</v>
      </c>
      <c r="E1807" s="1" t="str">
        <f t="shared" si="3"/>
        <v>At Constant 2018 Prices</v>
      </c>
      <c r="F1807" s="3">
        <v>5.2324001E7</v>
      </c>
    </row>
    <row r="1808" ht="15.75" customHeight="1">
      <c r="A1808" s="1" t="str">
        <f t="array" ref="A1808">INDEX(Reference!$A$2:$A$18, INT((ROW()-2)/(18*3*2)) + 1)</f>
        <v>Zamboanga Peninsula</v>
      </c>
      <c r="B1808" s="2" t="str">
        <f t="array" ref="B1808">INDEX(Reference!$C$2:$C$19, MOD(ROW()-2, 18) + 1)</f>
        <v>..Services</v>
      </c>
      <c r="C1808" s="1" t="str">
        <f t="shared" si="1"/>
        <v>Main</v>
      </c>
      <c r="D1808" s="1">
        <f t="shared" si="2"/>
        <v>2023</v>
      </c>
      <c r="E1808" s="1" t="str">
        <f t="shared" si="3"/>
        <v>At Constant 2018 Prices</v>
      </c>
      <c r="F1808" s="3">
        <v>2.41695484E8</v>
      </c>
    </row>
    <row r="1809" ht="15.75" customHeight="1">
      <c r="A1809" s="1" t="str">
        <f t="array" ref="A1809">INDEX(Reference!$A$2:$A$18, INT((ROW()-2)/(18*3*2)) + 1)</f>
        <v>Zamboanga Peninsula</v>
      </c>
      <c r="B1809" s="2" t="str">
        <f t="array" ref="B1809">INDEX(Reference!$C$2:$C$19, MOD(ROW()-2, 18) + 1)</f>
        <v>....Wholesale and retail trade; repair of motor vehicles and motorcycles</v>
      </c>
      <c r="C1809" s="1" t="str">
        <f t="shared" si="1"/>
        <v>Sub</v>
      </c>
      <c r="D1809" s="1">
        <f t="shared" si="2"/>
        <v>2023</v>
      </c>
      <c r="E1809" s="1" t="str">
        <f t="shared" si="3"/>
        <v>At Constant 2018 Prices</v>
      </c>
      <c r="F1809" s="3">
        <v>1.02355428E8</v>
      </c>
    </row>
    <row r="1810" ht="15.75" customHeight="1">
      <c r="A1810" s="1" t="str">
        <f t="array" ref="A1810">INDEX(Reference!$A$2:$A$18, INT((ROW()-2)/(18*3*2)) + 1)</f>
        <v>Zamboanga Peninsula</v>
      </c>
      <c r="B1810" s="2" t="str">
        <f t="array" ref="B1810">INDEX(Reference!$C$2:$C$19, MOD(ROW()-2, 18) + 1)</f>
        <v>....Transportation and storage</v>
      </c>
      <c r="C1810" s="1" t="str">
        <f t="shared" si="1"/>
        <v>Sub</v>
      </c>
      <c r="D1810" s="1">
        <f t="shared" si="2"/>
        <v>2023</v>
      </c>
      <c r="E1810" s="1" t="str">
        <f t="shared" si="3"/>
        <v>At Constant 2018 Prices</v>
      </c>
      <c r="F1810" s="3">
        <v>1.5351763E7</v>
      </c>
    </row>
    <row r="1811" ht="15.75" customHeight="1">
      <c r="A1811" s="1" t="str">
        <f t="array" ref="A1811">INDEX(Reference!$A$2:$A$18, INT((ROW()-2)/(18*3*2)) + 1)</f>
        <v>Zamboanga Peninsula</v>
      </c>
      <c r="B1811" s="2" t="str">
        <f t="array" ref="B1811">INDEX(Reference!$C$2:$C$19, MOD(ROW()-2, 18) + 1)</f>
        <v>....Accommodation and food service activities</v>
      </c>
      <c r="C1811" s="1" t="str">
        <f t="shared" si="1"/>
        <v>Sub</v>
      </c>
      <c r="D1811" s="1">
        <f t="shared" si="2"/>
        <v>2023</v>
      </c>
      <c r="E1811" s="1" t="str">
        <f t="shared" si="3"/>
        <v>At Constant 2018 Prices</v>
      </c>
      <c r="F1811" s="3">
        <v>5451979.0</v>
      </c>
    </row>
    <row r="1812" ht="15.75" customHeight="1">
      <c r="A1812" s="1" t="str">
        <f t="array" ref="A1812">INDEX(Reference!$A$2:$A$18, INT((ROW()-2)/(18*3*2)) + 1)</f>
        <v>Zamboanga Peninsula</v>
      </c>
      <c r="B1812" s="2" t="str">
        <f t="array" ref="B1812">INDEX(Reference!$C$2:$C$19, MOD(ROW()-2, 18) + 1)</f>
        <v>....Information and communication</v>
      </c>
      <c r="C1812" s="1" t="str">
        <f t="shared" si="1"/>
        <v>Sub</v>
      </c>
      <c r="D1812" s="1">
        <f t="shared" si="2"/>
        <v>2023</v>
      </c>
      <c r="E1812" s="1" t="str">
        <f t="shared" si="3"/>
        <v>At Constant 2018 Prices</v>
      </c>
      <c r="F1812" s="3">
        <v>1.3549844E7</v>
      </c>
    </row>
    <row r="1813" ht="15.75" customHeight="1">
      <c r="A1813" s="1" t="str">
        <f t="array" ref="A1813">INDEX(Reference!$A$2:$A$18, INT((ROW()-2)/(18*3*2)) + 1)</f>
        <v>Zamboanga Peninsula</v>
      </c>
      <c r="B1813" s="2" t="str">
        <f t="array" ref="B1813">INDEX(Reference!$C$2:$C$19, MOD(ROW()-2, 18) + 1)</f>
        <v>....Financial and insurance activities</v>
      </c>
      <c r="C1813" s="1" t="str">
        <f t="shared" si="1"/>
        <v>Sub</v>
      </c>
      <c r="D1813" s="1">
        <f t="shared" si="2"/>
        <v>2023</v>
      </c>
      <c r="E1813" s="1" t="str">
        <f t="shared" si="3"/>
        <v>At Constant 2018 Prices</v>
      </c>
      <c r="F1813" s="3">
        <v>1.8459791E7</v>
      </c>
    </row>
    <row r="1814" ht="15.75" customHeight="1">
      <c r="A1814" s="1" t="str">
        <f t="array" ref="A1814">INDEX(Reference!$A$2:$A$18, INT((ROW()-2)/(18*3*2)) + 1)</f>
        <v>Zamboanga Peninsula</v>
      </c>
      <c r="B1814" s="2" t="str">
        <f t="array" ref="B1814">INDEX(Reference!$C$2:$C$19, MOD(ROW()-2, 18) + 1)</f>
        <v>....Real estate and ownership of dwellings</v>
      </c>
      <c r="C1814" s="1" t="str">
        <f t="shared" si="1"/>
        <v>Sub</v>
      </c>
      <c r="D1814" s="1">
        <f t="shared" si="2"/>
        <v>2023</v>
      </c>
      <c r="E1814" s="1" t="str">
        <f t="shared" si="3"/>
        <v>At Constant 2018 Prices</v>
      </c>
      <c r="F1814" s="3">
        <v>1.5808479E7</v>
      </c>
    </row>
    <row r="1815" ht="15.75" customHeight="1">
      <c r="A1815" s="1" t="str">
        <f t="array" ref="A1815">INDEX(Reference!$A$2:$A$18, INT((ROW()-2)/(18*3*2)) + 1)</f>
        <v>Zamboanga Peninsula</v>
      </c>
      <c r="B1815" s="2" t="str">
        <f t="array" ref="B1815">INDEX(Reference!$C$2:$C$19, MOD(ROW()-2, 18) + 1)</f>
        <v>....Professional and business services</v>
      </c>
      <c r="C1815" s="1" t="str">
        <f t="shared" si="1"/>
        <v>Sub</v>
      </c>
      <c r="D1815" s="1">
        <f t="shared" si="2"/>
        <v>2023</v>
      </c>
      <c r="E1815" s="1" t="str">
        <f t="shared" si="3"/>
        <v>At Constant 2018 Prices</v>
      </c>
      <c r="F1815" s="3">
        <v>3940167.0</v>
      </c>
    </row>
    <row r="1816" ht="15.75" customHeight="1">
      <c r="A1816" s="1" t="str">
        <f t="array" ref="A1816">INDEX(Reference!$A$2:$A$18, INT((ROW()-2)/(18*3*2)) + 1)</f>
        <v>Zamboanga Peninsula</v>
      </c>
      <c r="B1816" s="2" t="str">
        <f t="array" ref="B1816">INDEX(Reference!$C$2:$C$19, MOD(ROW()-2, 18) + 1)</f>
        <v>....Public administration and defense; compulsory social activities</v>
      </c>
      <c r="C1816" s="1" t="str">
        <f t="shared" si="1"/>
        <v>Sub</v>
      </c>
      <c r="D1816" s="1">
        <f t="shared" si="2"/>
        <v>2023</v>
      </c>
      <c r="E1816" s="1" t="str">
        <f t="shared" si="3"/>
        <v>At Constant 2018 Prices</v>
      </c>
      <c r="F1816" s="3">
        <v>1.8101884E7</v>
      </c>
    </row>
    <row r="1817" ht="15.75" customHeight="1">
      <c r="A1817" s="1" t="str">
        <f t="array" ref="A1817">INDEX(Reference!$A$2:$A$18, INT((ROW()-2)/(18*3*2)) + 1)</f>
        <v>Zamboanga Peninsula</v>
      </c>
      <c r="B1817" s="2" t="str">
        <f t="array" ref="B1817">INDEX(Reference!$C$2:$C$19, MOD(ROW()-2, 18) + 1)</f>
        <v>....Education</v>
      </c>
      <c r="C1817" s="1" t="str">
        <f t="shared" si="1"/>
        <v>Sub</v>
      </c>
      <c r="D1817" s="1">
        <f t="shared" si="2"/>
        <v>2023</v>
      </c>
      <c r="E1817" s="1" t="str">
        <f t="shared" si="3"/>
        <v>At Constant 2018 Prices</v>
      </c>
      <c r="F1817" s="3">
        <v>3.3966176E7</v>
      </c>
    </row>
    <row r="1818" ht="15.75" customHeight="1">
      <c r="A1818" s="1" t="str">
        <f t="array" ref="A1818">INDEX(Reference!$A$2:$A$18, INT((ROW()-2)/(18*3*2)) + 1)</f>
        <v>Zamboanga Peninsula</v>
      </c>
      <c r="B1818" s="2" t="str">
        <f t="array" ref="B1818">INDEX(Reference!$C$2:$C$19, MOD(ROW()-2, 18) + 1)</f>
        <v>....Human health and social work activities</v>
      </c>
      <c r="C1818" s="1" t="str">
        <f t="shared" si="1"/>
        <v>Sub</v>
      </c>
      <c r="D1818" s="1">
        <f t="shared" si="2"/>
        <v>2023</v>
      </c>
      <c r="E1818" s="1" t="str">
        <f t="shared" si="3"/>
        <v>At Constant 2018 Prices</v>
      </c>
      <c r="F1818" s="3">
        <v>1.1653553E7</v>
      </c>
    </row>
    <row r="1819" ht="15.75" customHeight="1">
      <c r="A1819" s="1" t="str">
        <f t="array" ref="A1819">INDEX(Reference!$A$2:$A$18, INT((ROW()-2)/(18*3*2)) + 1)</f>
        <v>Zamboanga Peninsula</v>
      </c>
      <c r="B1819" s="2" t="str">
        <f t="array" ref="B1819">INDEX(Reference!$C$2:$C$19, MOD(ROW()-2, 18) + 1)</f>
        <v>....Other services</v>
      </c>
      <c r="C1819" s="1" t="str">
        <f t="shared" si="1"/>
        <v>Sub</v>
      </c>
      <c r="D1819" s="1">
        <f t="shared" si="2"/>
        <v>2023</v>
      </c>
      <c r="E1819" s="1" t="str">
        <f t="shared" si="3"/>
        <v>At Constant 2018 Prices</v>
      </c>
      <c r="F1819" s="3">
        <v>3056420.0</v>
      </c>
    </row>
    <row r="1820" ht="15.75" customHeight="1">
      <c r="A1820" s="1" t="str">
        <f t="array" ref="A1820">INDEX(Reference!$A$2:$A$18, INT((ROW()-2)/(18*3*2)) + 1)</f>
        <v>Zamboanga Peninsula</v>
      </c>
      <c r="B1820" s="2" t="str">
        <f t="array" ref="B1820">INDEX(Reference!$C$2:$C$19, MOD(ROW()-2, 18) + 1)</f>
        <v>..Agriculture, forestry, and fishing</v>
      </c>
      <c r="C1820" s="1" t="str">
        <f t="shared" si="1"/>
        <v>Main</v>
      </c>
      <c r="D1820" s="1">
        <f t="shared" si="2"/>
        <v>2024</v>
      </c>
      <c r="E1820" s="1" t="str">
        <f t="shared" si="3"/>
        <v>At Constant 2018 Prices</v>
      </c>
      <c r="F1820" s="3">
        <v>7.3624323E7</v>
      </c>
    </row>
    <row r="1821" ht="15.75" customHeight="1">
      <c r="A1821" s="1" t="str">
        <f t="array" ref="A1821">INDEX(Reference!$A$2:$A$18, INT((ROW()-2)/(18*3*2)) + 1)</f>
        <v>Zamboanga Peninsula</v>
      </c>
      <c r="B1821" s="2" t="str">
        <f t="array" ref="B1821">INDEX(Reference!$C$2:$C$19, MOD(ROW()-2, 18) + 1)</f>
        <v>..Industry</v>
      </c>
      <c r="C1821" s="1" t="str">
        <f t="shared" si="1"/>
        <v>Main</v>
      </c>
      <c r="D1821" s="1">
        <f t="shared" si="2"/>
        <v>2024</v>
      </c>
      <c r="E1821" s="1" t="str">
        <f t="shared" si="3"/>
        <v>At Constant 2018 Prices</v>
      </c>
      <c r="F1821" s="3">
        <v>1.36283969E8</v>
      </c>
    </row>
    <row r="1822" ht="15.75" customHeight="1">
      <c r="A1822" s="1" t="str">
        <f t="array" ref="A1822">INDEX(Reference!$A$2:$A$18, INT((ROW()-2)/(18*3*2)) + 1)</f>
        <v>Zamboanga Peninsula</v>
      </c>
      <c r="B1822" s="2" t="str">
        <f t="array" ref="B1822">INDEX(Reference!$C$2:$C$19, MOD(ROW()-2, 18) + 1)</f>
        <v>....Mining and quarrying</v>
      </c>
      <c r="C1822" s="1" t="str">
        <f t="shared" si="1"/>
        <v>Sub</v>
      </c>
      <c r="D1822" s="1">
        <f t="shared" si="2"/>
        <v>2024</v>
      </c>
      <c r="E1822" s="1" t="str">
        <f t="shared" si="3"/>
        <v>At Constant 2018 Prices</v>
      </c>
      <c r="F1822" s="3">
        <v>1136639.0</v>
      </c>
    </row>
    <row r="1823" ht="15.75" customHeight="1">
      <c r="A1823" s="1" t="str">
        <f t="array" ref="A1823">INDEX(Reference!$A$2:$A$18, INT((ROW()-2)/(18*3*2)) + 1)</f>
        <v>Zamboanga Peninsula</v>
      </c>
      <c r="B1823" s="2" t="str">
        <f t="array" ref="B1823">INDEX(Reference!$C$2:$C$19, MOD(ROW()-2, 18) + 1)</f>
        <v>....Manufacturing</v>
      </c>
      <c r="C1823" s="1" t="str">
        <f t="shared" si="1"/>
        <v>Sub</v>
      </c>
      <c r="D1823" s="1">
        <f t="shared" si="2"/>
        <v>2024</v>
      </c>
      <c r="E1823" s="1" t="str">
        <f t="shared" si="3"/>
        <v>At Constant 2018 Prices</v>
      </c>
      <c r="F1823" s="3">
        <v>7.4288372E7</v>
      </c>
    </row>
    <row r="1824" ht="15.75" customHeight="1">
      <c r="A1824" s="1" t="str">
        <f t="array" ref="A1824">INDEX(Reference!$A$2:$A$18, INT((ROW()-2)/(18*3*2)) + 1)</f>
        <v>Zamboanga Peninsula</v>
      </c>
      <c r="B1824" s="2" t="str">
        <f t="array" ref="B1824">INDEX(Reference!$C$2:$C$19, MOD(ROW()-2, 18) + 1)</f>
        <v>....Electricity, steam, water and waste management</v>
      </c>
      <c r="C1824" s="1" t="str">
        <f t="shared" si="1"/>
        <v>Sub</v>
      </c>
      <c r="D1824" s="1">
        <f t="shared" si="2"/>
        <v>2024</v>
      </c>
      <c r="E1824" s="1" t="str">
        <f t="shared" si="3"/>
        <v>At Constant 2018 Prices</v>
      </c>
      <c r="F1824" s="3">
        <v>5620423.0</v>
      </c>
    </row>
    <row r="1825" ht="15.75" customHeight="1">
      <c r="A1825" s="1" t="str">
        <f t="array" ref="A1825">INDEX(Reference!$A$2:$A$18, INT((ROW()-2)/(18*3*2)) + 1)</f>
        <v>Zamboanga Peninsula</v>
      </c>
      <c r="B1825" s="2" t="str">
        <f t="array" ref="B1825">INDEX(Reference!$C$2:$C$19, MOD(ROW()-2, 18) + 1)</f>
        <v>....Construction</v>
      </c>
      <c r="C1825" s="1" t="str">
        <f t="shared" si="1"/>
        <v>Sub</v>
      </c>
      <c r="D1825" s="1">
        <f t="shared" si="2"/>
        <v>2024</v>
      </c>
      <c r="E1825" s="1" t="str">
        <f t="shared" si="3"/>
        <v>At Constant 2018 Prices</v>
      </c>
      <c r="F1825" s="3">
        <v>5.5238535E7</v>
      </c>
    </row>
    <row r="1826" ht="15.75" customHeight="1">
      <c r="A1826" s="1" t="str">
        <f t="array" ref="A1826">INDEX(Reference!$A$2:$A$18, INT((ROW()-2)/(18*3*2)) + 1)</f>
        <v>Zamboanga Peninsula</v>
      </c>
      <c r="B1826" s="2" t="str">
        <f t="array" ref="B1826">INDEX(Reference!$C$2:$C$19, MOD(ROW()-2, 18) + 1)</f>
        <v>..Services</v>
      </c>
      <c r="C1826" s="1" t="str">
        <f t="shared" si="1"/>
        <v>Main</v>
      </c>
      <c r="D1826" s="1">
        <f t="shared" si="2"/>
        <v>2024</v>
      </c>
      <c r="E1826" s="1" t="str">
        <f t="shared" si="3"/>
        <v>At Constant 2018 Prices</v>
      </c>
      <c r="F1826" s="3">
        <v>2.55788057E8</v>
      </c>
    </row>
    <row r="1827" ht="15.75" customHeight="1">
      <c r="A1827" s="1" t="str">
        <f t="array" ref="A1827">INDEX(Reference!$A$2:$A$18, INT((ROW()-2)/(18*3*2)) + 1)</f>
        <v>Zamboanga Peninsula</v>
      </c>
      <c r="B1827" s="2" t="str">
        <f t="array" ref="B1827">INDEX(Reference!$C$2:$C$19, MOD(ROW()-2, 18) + 1)</f>
        <v>....Wholesale and retail trade; repair of motor vehicles and motorcycles</v>
      </c>
      <c r="C1827" s="1" t="str">
        <f t="shared" si="1"/>
        <v>Sub</v>
      </c>
      <c r="D1827" s="1">
        <f t="shared" si="2"/>
        <v>2024</v>
      </c>
      <c r="E1827" s="1" t="str">
        <f t="shared" si="3"/>
        <v>At Constant 2018 Prices</v>
      </c>
      <c r="F1827" s="3">
        <v>1.0719881E8</v>
      </c>
    </row>
    <row r="1828" ht="15.75" customHeight="1">
      <c r="A1828" s="1" t="str">
        <f t="array" ref="A1828">INDEX(Reference!$A$2:$A$18, INT((ROW()-2)/(18*3*2)) + 1)</f>
        <v>Zamboanga Peninsula</v>
      </c>
      <c r="B1828" s="2" t="str">
        <f t="array" ref="B1828">INDEX(Reference!$C$2:$C$19, MOD(ROW()-2, 18) + 1)</f>
        <v>....Transportation and storage</v>
      </c>
      <c r="C1828" s="1" t="str">
        <f t="shared" si="1"/>
        <v>Sub</v>
      </c>
      <c r="D1828" s="1">
        <f t="shared" si="2"/>
        <v>2024</v>
      </c>
      <c r="E1828" s="1" t="str">
        <f t="shared" si="3"/>
        <v>At Constant 2018 Prices</v>
      </c>
      <c r="F1828" s="3">
        <v>1.7081184E7</v>
      </c>
    </row>
    <row r="1829" ht="15.75" customHeight="1">
      <c r="A1829" s="1" t="str">
        <f t="array" ref="A1829">INDEX(Reference!$A$2:$A$18, INT((ROW()-2)/(18*3*2)) + 1)</f>
        <v>Zamboanga Peninsula</v>
      </c>
      <c r="B1829" s="2" t="str">
        <f t="array" ref="B1829">INDEX(Reference!$C$2:$C$19, MOD(ROW()-2, 18) + 1)</f>
        <v>....Accommodation and food service activities</v>
      </c>
      <c r="C1829" s="1" t="str">
        <f t="shared" si="1"/>
        <v>Sub</v>
      </c>
      <c r="D1829" s="1">
        <f t="shared" si="2"/>
        <v>2024</v>
      </c>
      <c r="E1829" s="1" t="str">
        <f t="shared" si="3"/>
        <v>At Constant 2018 Prices</v>
      </c>
      <c r="F1829" s="3">
        <v>6028592.0</v>
      </c>
    </row>
    <row r="1830" ht="15.75" customHeight="1">
      <c r="A1830" s="1" t="str">
        <f t="array" ref="A1830">INDEX(Reference!$A$2:$A$18, INT((ROW()-2)/(18*3*2)) + 1)</f>
        <v>Zamboanga Peninsula</v>
      </c>
      <c r="B1830" s="2" t="str">
        <f t="array" ref="B1830">INDEX(Reference!$C$2:$C$19, MOD(ROW()-2, 18) + 1)</f>
        <v>....Information and communication</v>
      </c>
      <c r="C1830" s="1" t="str">
        <f t="shared" si="1"/>
        <v>Sub</v>
      </c>
      <c r="D1830" s="1">
        <f t="shared" si="2"/>
        <v>2024</v>
      </c>
      <c r="E1830" s="1" t="str">
        <f t="shared" si="3"/>
        <v>At Constant 2018 Prices</v>
      </c>
      <c r="F1830" s="3">
        <v>1.4309247E7</v>
      </c>
    </row>
    <row r="1831" ht="15.75" customHeight="1">
      <c r="A1831" s="1" t="str">
        <f t="array" ref="A1831">INDEX(Reference!$A$2:$A$18, INT((ROW()-2)/(18*3*2)) + 1)</f>
        <v>Zamboanga Peninsula</v>
      </c>
      <c r="B1831" s="2" t="str">
        <f t="array" ref="B1831">INDEX(Reference!$C$2:$C$19, MOD(ROW()-2, 18) + 1)</f>
        <v>....Financial and insurance activities</v>
      </c>
      <c r="C1831" s="1" t="str">
        <f t="shared" si="1"/>
        <v>Sub</v>
      </c>
      <c r="D1831" s="1">
        <f t="shared" si="2"/>
        <v>2024</v>
      </c>
      <c r="E1831" s="1" t="str">
        <f t="shared" si="3"/>
        <v>At Constant 2018 Prices</v>
      </c>
      <c r="F1831" s="3">
        <v>2.0140793E7</v>
      </c>
    </row>
    <row r="1832" ht="15.75" customHeight="1">
      <c r="A1832" s="1" t="str">
        <f t="array" ref="A1832">INDEX(Reference!$A$2:$A$18, INT((ROW()-2)/(18*3*2)) + 1)</f>
        <v>Zamboanga Peninsula</v>
      </c>
      <c r="B1832" s="2" t="str">
        <f t="array" ref="B1832">INDEX(Reference!$C$2:$C$19, MOD(ROW()-2, 18) + 1)</f>
        <v>....Real estate and ownership of dwellings</v>
      </c>
      <c r="C1832" s="1" t="str">
        <f t="shared" si="1"/>
        <v>Sub</v>
      </c>
      <c r="D1832" s="1">
        <f t="shared" si="2"/>
        <v>2024</v>
      </c>
      <c r="E1832" s="1" t="str">
        <f t="shared" si="3"/>
        <v>At Constant 2018 Prices</v>
      </c>
      <c r="F1832" s="3">
        <v>1.6587355E7</v>
      </c>
    </row>
    <row r="1833" ht="15.75" customHeight="1">
      <c r="A1833" s="1" t="str">
        <f t="array" ref="A1833">INDEX(Reference!$A$2:$A$18, INT((ROW()-2)/(18*3*2)) + 1)</f>
        <v>Zamboanga Peninsula</v>
      </c>
      <c r="B1833" s="2" t="str">
        <f t="array" ref="B1833">INDEX(Reference!$C$2:$C$19, MOD(ROW()-2, 18) + 1)</f>
        <v>....Professional and business services</v>
      </c>
      <c r="C1833" s="1" t="str">
        <f t="shared" si="1"/>
        <v>Sub</v>
      </c>
      <c r="D1833" s="1">
        <f t="shared" si="2"/>
        <v>2024</v>
      </c>
      <c r="E1833" s="1" t="str">
        <f t="shared" si="3"/>
        <v>At Constant 2018 Prices</v>
      </c>
      <c r="F1833" s="3">
        <v>4475769.0</v>
      </c>
    </row>
    <row r="1834" ht="15.75" customHeight="1">
      <c r="A1834" s="1" t="str">
        <f t="array" ref="A1834">INDEX(Reference!$A$2:$A$18, INT((ROW()-2)/(18*3*2)) + 1)</f>
        <v>Zamboanga Peninsula</v>
      </c>
      <c r="B1834" s="2" t="str">
        <f t="array" ref="B1834">INDEX(Reference!$C$2:$C$19, MOD(ROW()-2, 18) + 1)</f>
        <v>....Public administration and defense; compulsory social activities</v>
      </c>
      <c r="C1834" s="1" t="str">
        <f t="shared" si="1"/>
        <v>Sub</v>
      </c>
      <c r="D1834" s="1">
        <f t="shared" si="2"/>
        <v>2024</v>
      </c>
      <c r="E1834" s="1" t="str">
        <f t="shared" si="3"/>
        <v>At Constant 2018 Prices</v>
      </c>
      <c r="F1834" s="3">
        <v>1.8615356E7</v>
      </c>
    </row>
    <row r="1835" ht="15.75" customHeight="1">
      <c r="A1835" s="1" t="str">
        <f t="array" ref="A1835">INDEX(Reference!$A$2:$A$18, INT((ROW()-2)/(18*3*2)) + 1)</f>
        <v>Zamboanga Peninsula</v>
      </c>
      <c r="B1835" s="2" t="str">
        <f t="array" ref="B1835">INDEX(Reference!$C$2:$C$19, MOD(ROW()-2, 18) + 1)</f>
        <v>....Education</v>
      </c>
      <c r="C1835" s="1" t="str">
        <f t="shared" si="1"/>
        <v>Sub</v>
      </c>
      <c r="D1835" s="1">
        <f t="shared" si="2"/>
        <v>2024</v>
      </c>
      <c r="E1835" s="1" t="str">
        <f t="shared" si="3"/>
        <v>At Constant 2018 Prices</v>
      </c>
      <c r="F1835" s="3">
        <v>3.5169516E7</v>
      </c>
    </row>
    <row r="1836" ht="15.75" customHeight="1">
      <c r="A1836" s="1" t="str">
        <f t="array" ref="A1836">INDEX(Reference!$A$2:$A$18, INT((ROW()-2)/(18*3*2)) + 1)</f>
        <v>Zamboanga Peninsula</v>
      </c>
      <c r="B1836" s="2" t="str">
        <f t="array" ref="B1836">INDEX(Reference!$C$2:$C$19, MOD(ROW()-2, 18) + 1)</f>
        <v>....Human health and social work activities</v>
      </c>
      <c r="C1836" s="1" t="str">
        <f t="shared" si="1"/>
        <v>Sub</v>
      </c>
      <c r="D1836" s="1">
        <f t="shared" si="2"/>
        <v>2024</v>
      </c>
      <c r="E1836" s="1" t="str">
        <f t="shared" si="3"/>
        <v>At Constant 2018 Prices</v>
      </c>
      <c r="F1836" s="3">
        <v>1.2811569E7</v>
      </c>
    </row>
    <row r="1837" ht="15.75" customHeight="1">
      <c r="A1837" s="1" t="str">
        <f t="array" ref="A1837">INDEX(Reference!$A$2:$A$18, INT((ROW()-2)/(18*3*2)) + 1)</f>
        <v>Zamboanga Peninsula</v>
      </c>
      <c r="B1837" s="2" t="str">
        <f t="array" ref="B1837">INDEX(Reference!$C$2:$C$19, MOD(ROW()-2, 18) + 1)</f>
        <v>....Other services</v>
      </c>
      <c r="C1837" s="1" t="str">
        <f t="shared" si="1"/>
        <v>Sub</v>
      </c>
      <c r="D1837" s="1">
        <f t="shared" si="2"/>
        <v>2024</v>
      </c>
      <c r="E1837" s="1" t="str">
        <f t="shared" si="3"/>
        <v>At Constant 2018 Prices</v>
      </c>
      <c r="F1837" s="3">
        <v>3369868.0</v>
      </c>
    </row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>
      <c r="A1851" s="1"/>
    </row>
    <row r="1852" ht="15.75" customHeight="1">
      <c r="A1852" s="1"/>
    </row>
    <row r="1853" ht="15.75" customHeight="1">
      <c r="A1853" s="1"/>
    </row>
    <row r="1854" ht="15.75" customHeight="1">
      <c r="A1854" s="1"/>
    </row>
    <row r="1855" ht="15.75" customHeight="1">
      <c r="A1855" s="1"/>
    </row>
    <row r="1856" ht="15.75" customHeight="1">
      <c r="A1856" s="1"/>
    </row>
    <row r="1857" ht="15.75" customHeight="1">
      <c r="A1857" s="1"/>
    </row>
    <row r="1858" ht="15.75" customHeight="1">
      <c r="A1858" s="1"/>
    </row>
    <row r="1859" ht="15.75" customHeight="1">
      <c r="A1859" s="1"/>
    </row>
    <row r="1860" ht="15.75" customHeight="1">
      <c r="A1860" s="1"/>
    </row>
    <row r="1861" ht="15.75" customHeight="1">
      <c r="A1861" s="1"/>
    </row>
    <row r="1862" ht="15.75" customHeight="1">
      <c r="A1862" s="1"/>
    </row>
    <row r="1863" ht="15.75" customHeight="1">
      <c r="A1863" s="1"/>
    </row>
    <row r="1864" ht="15.75" customHeight="1">
      <c r="A1864" s="1"/>
    </row>
    <row r="1865" ht="15.75" customHeight="1">
      <c r="A1865" s="1"/>
    </row>
    <row r="1866" ht="15.75" customHeight="1">
      <c r="A1866" s="1"/>
    </row>
    <row r="1867" ht="15.75" customHeight="1">
      <c r="A1867" s="1"/>
    </row>
    <row r="1868" ht="15.75" customHeight="1">
      <c r="A1868" s="1"/>
    </row>
    <row r="1869" ht="15.75" customHeight="1">
      <c r="A1869" s="1"/>
    </row>
    <row r="1870" ht="15.75" customHeight="1">
      <c r="A1870" s="1"/>
    </row>
    <row r="1871" ht="15.75" customHeight="1">
      <c r="A1871" s="1"/>
    </row>
    <row r="1872" ht="15.75" customHeight="1">
      <c r="A1872" s="1"/>
    </row>
    <row r="1873" ht="15.75" customHeight="1">
      <c r="A1873" s="1"/>
    </row>
    <row r="1874" ht="15.75" customHeight="1">
      <c r="A1874" s="1"/>
    </row>
    <row r="1875" ht="15.75" customHeight="1">
      <c r="A1875" s="1"/>
    </row>
    <row r="1876" ht="15.75" customHeight="1">
      <c r="A1876" s="1"/>
    </row>
    <row r="1877" ht="15.75" customHeight="1">
      <c r="A1877" s="1"/>
    </row>
    <row r="1878" ht="15.75" customHeight="1">
      <c r="A1878" s="1"/>
    </row>
    <row r="1879" ht="15.75" customHeight="1">
      <c r="A1879" s="1"/>
    </row>
    <row r="1880" ht="15.75" customHeight="1">
      <c r="A1880" s="1"/>
    </row>
    <row r="1881" ht="15.75" customHeight="1">
      <c r="A1881" s="1"/>
    </row>
    <row r="1882" ht="15.75" customHeight="1">
      <c r="A1882" s="1"/>
    </row>
    <row r="1883" ht="15.75" customHeight="1">
      <c r="A1883" s="1"/>
    </row>
    <row r="1884" ht="15.75" customHeight="1">
      <c r="A1884" s="1"/>
    </row>
    <row r="1885" ht="15.75" customHeight="1">
      <c r="A1885" s="1"/>
    </row>
    <row r="1886" ht="15.75" customHeight="1">
      <c r="A1886" s="1"/>
    </row>
    <row r="1887" ht="15.75" customHeight="1">
      <c r="A1887" s="1"/>
    </row>
    <row r="1888" ht="15.75" customHeight="1">
      <c r="A1888" s="1"/>
    </row>
    <row r="1889" ht="15.75" customHeight="1">
      <c r="A1889" s="1"/>
    </row>
    <row r="1890" ht="15.75" customHeight="1">
      <c r="A1890" s="1"/>
    </row>
    <row r="1891" ht="15.75" customHeight="1">
      <c r="A1891" s="1"/>
    </row>
    <row r="1892" ht="15.75" customHeight="1">
      <c r="A1892" s="1"/>
    </row>
    <row r="1893" ht="15.75" customHeight="1">
      <c r="A1893" s="1"/>
    </row>
    <row r="1894" ht="15.75" customHeight="1">
      <c r="A1894" s="1"/>
    </row>
    <row r="1895" ht="15.75" customHeight="1">
      <c r="A1895" s="1"/>
    </row>
    <row r="1896" ht="15.75" customHeight="1">
      <c r="A1896" s="1"/>
    </row>
    <row r="1897" ht="15.75" customHeight="1">
      <c r="A1897" s="1"/>
    </row>
    <row r="1898" ht="15.75" customHeight="1">
      <c r="A1898" s="1"/>
    </row>
    <row r="1899" ht="15.75" customHeight="1">
      <c r="A1899" s="1"/>
    </row>
    <row r="1900" ht="15.75" customHeight="1">
      <c r="A1900" s="1"/>
    </row>
    <row r="1901" ht="15.75" customHeight="1">
      <c r="A1901" s="1"/>
    </row>
    <row r="1902" ht="15.75" customHeight="1">
      <c r="A1902" s="1"/>
    </row>
    <row r="1903" ht="15.75" customHeight="1">
      <c r="A1903" s="1"/>
    </row>
    <row r="1904" ht="15.75" customHeight="1">
      <c r="A1904" s="1"/>
    </row>
    <row r="1905" ht="15.75" customHeight="1">
      <c r="A1905" s="1"/>
    </row>
    <row r="1906" ht="15.75" customHeight="1">
      <c r="A1906" s="1"/>
    </row>
    <row r="1907" ht="15.75" customHeight="1">
      <c r="A1907" s="1"/>
    </row>
    <row r="1908" ht="15.75" customHeight="1">
      <c r="A1908" s="1"/>
    </row>
    <row r="1909" ht="15.75" customHeight="1">
      <c r="A1909" s="1"/>
    </row>
    <row r="1910" ht="15.75" customHeight="1">
      <c r="A1910" s="1"/>
    </row>
    <row r="1911" ht="15.75" customHeight="1">
      <c r="A1911" s="1"/>
    </row>
    <row r="1912" ht="15.75" customHeight="1">
      <c r="A1912" s="1"/>
    </row>
    <row r="1913" ht="15.75" customHeight="1">
      <c r="A1913" s="1"/>
    </row>
    <row r="1914" ht="15.75" customHeight="1">
      <c r="A1914" s="1"/>
    </row>
    <row r="1915" ht="15.75" customHeight="1">
      <c r="A1915" s="1"/>
    </row>
    <row r="1916" ht="15.75" customHeight="1">
      <c r="A1916" s="1"/>
    </row>
    <row r="1917" ht="15.75" customHeight="1">
      <c r="A1917" s="1"/>
    </row>
    <row r="1918" ht="15.75" customHeight="1">
      <c r="A1918" s="1"/>
    </row>
    <row r="1919" ht="15.75" customHeight="1">
      <c r="A1919" s="1"/>
    </row>
    <row r="1920" ht="15.75" customHeight="1">
      <c r="A1920" s="1"/>
    </row>
    <row r="1921" ht="15.75" customHeight="1">
      <c r="A1921" s="1"/>
    </row>
    <row r="1922" ht="15.75" customHeight="1">
      <c r="A1922" s="1"/>
    </row>
    <row r="1923" ht="15.75" customHeight="1">
      <c r="A1923" s="1"/>
    </row>
    <row r="1924" ht="15.75" customHeight="1">
      <c r="A1924" s="1"/>
    </row>
    <row r="1925" ht="15.75" customHeight="1">
      <c r="A1925" s="1"/>
    </row>
    <row r="1926" ht="15.75" customHeight="1">
      <c r="A1926" s="1"/>
    </row>
    <row r="1927" ht="15.75" customHeight="1">
      <c r="A1927" s="1"/>
    </row>
    <row r="1928" ht="15.75" customHeight="1">
      <c r="A1928" s="1"/>
    </row>
    <row r="1929" ht="15.75" customHeight="1">
      <c r="A1929" s="1"/>
    </row>
    <row r="1930" ht="15.75" customHeight="1">
      <c r="A1930" s="1"/>
    </row>
    <row r="1931" ht="15.75" customHeight="1">
      <c r="A1931" s="1"/>
    </row>
    <row r="1932" ht="15.75" customHeight="1">
      <c r="A1932" s="1"/>
    </row>
    <row r="1933" ht="15.75" customHeight="1">
      <c r="A1933" s="1"/>
    </row>
    <row r="1934" ht="15.75" customHeight="1">
      <c r="A1934" s="1"/>
    </row>
    <row r="1935" ht="15.75" customHeight="1">
      <c r="A1935" s="1"/>
    </row>
    <row r="1936" ht="15.75" customHeight="1">
      <c r="A1936" s="1"/>
    </row>
    <row r="1937" ht="15.75" customHeight="1">
      <c r="A1937" s="1"/>
    </row>
    <row r="1938" ht="15.75" customHeight="1">
      <c r="A1938" s="1"/>
    </row>
    <row r="1939" ht="15.75" customHeight="1">
      <c r="A1939" s="1"/>
    </row>
    <row r="1940" ht="15.75" customHeight="1">
      <c r="A1940" s="1"/>
    </row>
    <row r="1941" ht="15.75" customHeight="1">
      <c r="A1941" s="1"/>
    </row>
    <row r="1942" ht="15.75" customHeight="1">
      <c r="A1942" s="1"/>
    </row>
    <row r="1943" ht="15.75" customHeight="1">
      <c r="A1943" s="1"/>
    </row>
    <row r="1944" ht="15.75" customHeight="1">
      <c r="A1944" s="1"/>
    </row>
    <row r="1945" ht="15.75" customHeight="1">
      <c r="A1945" s="1"/>
    </row>
    <row r="1946" ht="15.75" customHeight="1">
      <c r="A1946" s="1"/>
    </row>
    <row r="1947" ht="15.75" customHeight="1">
      <c r="A1947" s="1"/>
    </row>
    <row r="1948" ht="15.75" customHeight="1">
      <c r="A1948" s="1"/>
    </row>
    <row r="1949" ht="15.75" customHeight="1">
      <c r="A1949" s="1"/>
    </row>
    <row r="1950" ht="15.75" customHeight="1">
      <c r="A1950" s="1"/>
    </row>
    <row r="1951" ht="15.75" customHeight="1">
      <c r="A1951" s="1"/>
    </row>
    <row r="1952" ht="15.75" customHeight="1">
      <c r="A1952" s="1"/>
    </row>
    <row r="1953" ht="15.75" customHeight="1">
      <c r="A1953" s="1"/>
    </row>
    <row r="1954" ht="15.75" customHeight="1">
      <c r="A1954" s="1"/>
    </row>
    <row r="1955" ht="15.75" customHeight="1">
      <c r="A1955" s="1"/>
    </row>
    <row r="1956" ht="15.75" customHeight="1">
      <c r="A1956" s="1"/>
    </row>
    <row r="1957" ht="15.75" customHeight="1">
      <c r="A1957" s="1"/>
    </row>
    <row r="1958" ht="15.75" customHeight="1">
      <c r="A1958" s="1"/>
    </row>
    <row r="1959" ht="15.75" customHeight="1">
      <c r="A1959" s="1"/>
    </row>
    <row r="1960" ht="15.75" customHeight="1">
      <c r="A1960" s="1"/>
    </row>
    <row r="1961" ht="15.75" customHeight="1">
      <c r="A1961" s="1"/>
    </row>
    <row r="1962" ht="15.75" customHeight="1">
      <c r="A1962" s="1"/>
    </row>
    <row r="1963" ht="15.75" customHeight="1">
      <c r="A1963" s="1"/>
    </row>
    <row r="1964" ht="15.75" customHeight="1">
      <c r="A1964" s="1"/>
    </row>
    <row r="1965" ht="15.75" customHeight="1">
      <c r="A1965" s="1"/>
    </row>
    <row r="1966" ht="15.75" customHeight="1">
      <c r="A1966" s="1"/>
    </row>
    <row r="1967" ht="15.75" customHeight="1">
      <c r="A1967" s="1"/>
    </row>
    <row r="1968" ht="15.75" customHeight="1">
      <c r="A1968" s="1"/>
    </row>
    <row r="1969" ht="15.75" customHeight="1">
      <c r="A1969" s="1"/>
    </row>
    <row r="1970" ht="15.75" customHeight="1">
      <c r="A1970" s="1"/>
    </row>
    <row r="1971" ht="15.75" customHeight="1">
      <c r="A1971" s="1"/>
    </row>
    <row r="1972" ht="15.75" customHeight="1">
      <c r="A1972" s="1"/>
    </row>
    <row r="1973" ht="15.75" customHeight="1">
      <c r="A1973" s="1"/>
    </row>
    <row r="1974" ht="15.75" customHeight="1">
      <c r="A1974" s="1"/>
    </row>
    <row r="1975" ht="15.75" customHeight="1">
      <c r="A1975" s="1"/>
    </row>
    <row r="1976" ht="15.75" customHeight="1">
      <c r="A1976" s="1"/>
    </row>
    <row r="1977" ht="15.75" customHeight="1">
      <c r="A1977" s="1"/>
    </row>
    <row r="1978" ht="15.75" customHeight="1">
      <c r="A1978" s="1"/>
    </row>
    <row r="1979" ht="15.75" customHeight="1">
      <c r="A1979" s="1"/>
    </row>
    <row r="1980" ht="15.75" customHeight="1">
      <c r="A1980" s="1"/>
    </row>
    <row r="1981" ht="15.75" customHeight="1">
      <c r="A1981" s="1"/>
    </row>
    <row r="1982" ht="15.75" customHeight="1">
      <c r="A1982" s="1"/>
    </row>
    <row r="1983" ht="15.75" customHeight="1">
      <c r="A1983" s="1"/>
    </row>
    <row r="1984" ht="15.75" customHeight="1">
      <c r="A1984" s="1"/>
    </row>
    <row r="1985" ht="15.75" customHeight="1">
      <c r="A1985" s="1"/>
    </row>
    <row r="1986" ht="15.75" customHeight="1">
      <c r="A1986" s="1"/>
    </row>
    <row r="1987" ht="15.75" customHeight="1">
      <c r="A1987" s="1"/>
    </row>
    <row r="1988" ht="15.75" customHeight="1">
      <c r="A1988" s="1"/>
    </row>
    <row r="1989" ht="15.75" customHeight="1">
      <c r="A1989" s="1"/>
    </row>
    <row r="1990" ht="15.75" customHeight="1">
      <c r="A1990" s="1"/>
    </row>
    <row r="1991" ht="15.75" customHeight="1">
      <c r="A1991" s="1"/>
    </row>
    <row r="1992" ht="15.75" customHeight="1">
      <c r="A1992" s="1"/>
    </row>
    <row r="1993" ht="15.75" customHeight="1">
      <c r="A1993" s="1"/>
    </row>
    <row r="1994" ht="15.75" customHeight="1">
      <c r="A1994" s="1"/>
    </row>
    <row r="1995" ht="15.75" customHeight="1">
      <c r="A1995" s="1"/>
    </row>
    <row r="1996" ht="15.75" customHeight="1">
      <c r="A1996" s="1"/>
    </row>
    <row r="1997" ht="15.75" customHeight="1">
      <c r="A1997" s="1"/>
    </row>
    <row r="1998" ht="15.75" customHeight="1">
      <c r="A1998" s="1"/>
    </row>
    <row r="1999" ht="15.75" customHeight="1">
      <c r="A1999" s="1"/>
    </row>
    <row r="2000" ht="15.75" customHeight="1">
      <c r="A2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12.63"/>
    <col customWidth="1" min="3" max="3" width="51.13"/>
    <col customWidth="1" min="4" max="6" width="12.63"/>
  </cols>
  <sheetData>
    <row r="1" ht="15.75" customHeight="1">
      <c r="A1" s="1" t="s">
        <v>0</v>
      </c>
      <c r="C1" s="1" t="s">
        <v>1</v>
      </c>
    </row>
    <row r="2" ht="15.75" customHeight="1">
      <c r="A2" s="1" t="s">
        <v>6</v>
      </c>
      <c r="C2" s="2" t="s">
        <v>7</v>
      </c>
    </row>
    <row r="3" ht="15.75" customHeight="1">
      <c r="A3" s="1" t="s">
        <v>8</v>
      </c>
      <c r="C3" s="2" t="s">
        <v>9</v>
      </c>
    </row>
    <row r="4" ht="15.75" customHeight="1">
      <c r="A4" s="1" t="s">
        <v>10</v>
      </c>
      <c r="C4" s="2" t="s">
        <v>11</v>
      </c>
    </row>
    <row r="5" ht="15.75" customHeight="1">
      <c r="A5" s="1" t="s">
        <v>12</v>
      </c>
      <c r="C5" s="2" t="s">
        <v>13</v>
      </c>
    </row>
    <row r="6" ht="15.75" customHeight="1">
      <c r="A6" s="1" t="s">
        <v>14</v>
      </c>
      <c r="C6" s="2" t="s">
        <v>15</v>
      </c>
    </row>
    <row r="7" ht="15.75" customHeight="1">
      <c r="A7" s="1" t="s">
        <v>16</v>
      </c>
      <c r="C7" s="2" t="s">
        <v>17</v>
      </c>
    </row>
    <row r="8" ht="15.75" customHeight="1">
      <c r="A8" s="1" t="s">
        <v>18</v>
      </c>
      <c r="C8" s="2" t="s">
        <v>19</v>
      </c>
    </row>
    <row r="9" ht="15.75" customHeight="1">
      <c r="A9" s="1" t="s">
        <v>20</v>
      </c>
      <c r="C9" s="2" t="s">
        <v>21</v>
      </c>
    </row>
    <row r="10" ht="15.75" customHeight="1">
      <c r="A10" s="1" t="s">
        <v>22</v>
      </c>
      <c r="C10" s="2" t="s">
        <v>23</v>
      </c>
    </row>
    <row r="11" ht="15.75" customHeight="1">
      <c r="A11" s="1" t="s">
        <v>24</v>
      </c>
      <c r="C11" s="2" t="s">
        <v>25</v>
      </c>
    </row>
    <row r="12" ht="15.75" customHeight="1">
      <c r="A12" s="1" t="s">
        <v>26</v>
      </c>
      <c r="C12" s="2" t="s">
        <v>27</v>
      </c>
    </row>
    <row r="13" ht="15.75" customHeight="1">
      <c r="A13" s="1" t="s">
        <v>28</v>
      </c>
      <c r="C13" s="2" t="s">
        <v>29</v>
      </c>
    </row>
    <row r="14" ht="15.75" customHeight="1">
      <c r="A14" s="1" t="s">
        <v>30</v>
      </c>
      <c r="C14" s="2" t="s">
        <v>31</v>
      </c>
    </row>
    <row r="15" ht="15.75" customHeight="1">
      <c r="A15" s="1" t="s">
        <v>32</v>
      </c>
      <c r="C15" s="2" t="s">
        <v>33</v>
      </c>
    </row>
    <row r="16" ht="15.75" customHeight="1">
      <c r="A16" s="1" t="s">
        <v>34</v>
      </c>
      <c r="C16" s="2" t="s">
        <v>35</v>
      </c>
    </row>
    <row r="17" ht="15.75" customHeight="1">
      <c r="A17" s="1" t="s">
        <v>36</v>
      </c>
      <c r="C17" s="2" t="s">
        <v>37</v>
      </c>
    </row>
    <row r="18" ht="15.75" customHeight="1">
      <c r="A18" s="1" t="s">
        <v>38</v>
      </c>
      <c r="C18" s="2" t="s">
        <v>39</v>
      </c>
    </row>
    <row r="19" ht="15.75" customHeight="1">
      <c r="C19" s="2" t="s">
        <v>40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