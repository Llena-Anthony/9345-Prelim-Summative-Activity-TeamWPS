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2B5CPBR1" sheetId="1" r:id="rId4"/>
  </sheets>
  <definedNames/>
  <calcPr/>
  <extLst>
    <ext uri="GoogleSheetsCustomDataVersion2">
      <go:sheetsCustomData xmlns:go="http://customooxmlschemas.google.com/" r:id="rId5" roundtripDataChecksum="usLU5AnkfU8nh7SDZqDi7KQgemjsl0kax9037gqCE3s="/>
    </ext>
  </extLst>
</workbook>
</file>

<file path=xl/sharedStrings.xml><?xml version="1.0" encoding="utf-8"?>
<sst xmlns="http://schemas.openxmlformats.org/spreadsheetml/2006/main" count="45" uniqueCount="42">
  <si>
    <t>Bangsamoro Autonomous Region in Muslim Mindanao, Gross Regional Domestic Product, by Industry</t>
  </si>
  <si>
    <t>At Current Prices</t>
  </si>
  <si>
    <t>At Constant 2018 Prices</t>
  </si>
  <si>
    <t>2022</t>
  </si>
  <si>
    <t>2023</t>
  </si>
  <si>
    <t>2024</t>
  </si>
  <si>
    <t>..Agriculture, forestry, and fishing</t>
  </si>
  <si>
    <t>..Industry</t>
  </si>
  <si>
    <t>....Mining and quarrying</t>
  </si>
  <si>
    <t>....Manufacturing</t>
  </si>
  <si>
    <t>....Electricity, steam, water and waste management</t>
  </si>
  <si>
    <t>....Construction</t>
  </si>
  <si>
    <t>..Services</t>
  </si>
  <si>
    <t>....Wholesale and retail trade; repair of motor vehicles and motorcycles</t>
  </si>
  <si>
    <t>....Transportation and storage</t>
  </si>
  <si>
    <t>....Accommodation and food service activities</t>
  </si>
  <si>
    <t>....Information and communication</t>
  </si>
  <si>
    <t>....Financial and insurance activities</t>
  </si>
  <si>
    <t>....Real estate and ownership of dwellings</t>
  </si>
  <si>
    <t>....Professional and business services</t>
  </si>
  <si>
    <t>....Public administration and defense; compulsory social activities</t>
  </si>
  <si>
    <t>....Education</t>
  </si>
  <si>
    <t>....Human health and social work activities</t>
  </si>
  <si>
    <t>....Other services</t>
  </si>
  <si>
    <t>Gross Domestic Product</t>
  </si>
  <si>
    <t>sum of b5 b6 b12</t>
  </si>
  <si>
    <t>Latest update:</t>
  </si>
  <si>
    <t>20250422 10:00</t>
  </si>
  <si>
    <t>Source:</t>
  </si>
  <si>
    <t>Philippine Statistics Authority (PSA)</t>
  </si>
  <si>
    <t>Contact:</t>
  </si>
  <si>
    <t>Anthony B. Abalos</t>
  </si>
  <si>
    <t>Officer-in-Charge</t>
  </si>
  <si>
    <t>Expenditure and Integrated Accounts Division</t>
  </si>
  <si>
    <t>Philippine Statistics Authority</t>
  </si>
  <si>
    <t>21st Floor, PSA Headquarters, PSA Complex East Avenue, Diliman, Quezon City</t>
  </si>
  <si>
    <t>a.abalos@psa.gov.ph</t>
  </si>
  <si>
    <t>Units:</t>
  </si>
  <si>
    <t>thousand pesos</t>
  </si>
  <si>
    <t>Official statistics</t>
  </si>
  <si>
    <t>Internal reference code:</t>
  </si>
  <si>
    <t>2B5CPBR1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</si>
</sst>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libri"/>
      <scheme val="minor"/>
    </font>
    <font>
      <b/>
      <sz val="14.0"/>
      <color rgb="FF000000"/>
      <name val="Calibri"/>
    </font>
    <font>
      <b/>
      <sz val="11.0"/>
      <color rgb="FF000000"/>
      <name val="Calibri"/>
    </font>
    <font>
      <sz val="11.0"/>
      <color rgb="FF000000"/>
      <name val="Calibri"/>
    </font>
    <font>
      <color theme="1"/>
      <name val="Calibri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1">
    <border/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0" fillId="2" fontId="2" numFmtId="0" xfId="0" applyAlignment="1" applyFill="1" applyFont="1">
      <alignment shrinkToFit="0" vertical="bottom" wrapText="0"/>
    </xf>
    <xf borderId="0" fillId="0" fontId="2" numFmtId="1" xfId="0" applyAlignment="1" applyFont="1" applyNumberFormat="1">
      <alignment shrinkToFit="0" vertical="bottom" wrapText="0"/>
    </xf>
    <xf borderId="0" fillId="0" fontId="3" numFmtId="1" xfId="0" applyAlignment="1" applyFont="1" applyNumberFormat="1">
      <alignment shrinkToFit="0" vertical="bottom" wrapText="0"/>
    </xf>
    <xf borderId="0" fillId="0" fontId="4" numFmtId="0" xfId="0" applyAlignment="1" applyFont="1">
      <alignment readingOrder="0"/>
    </xf>
    <xf borderId="0" fillId="0" fontId="4" numFmtId="1" xfId="0" applyFont="1" applyNumberFormat="1"/>
    <xf borderId="0" fillId="0" fontId="4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0.71"/>
    <col customWidth="1" min="2" max="2" width="17.86"/>
    <col customWidth="1" min="3" max="4" width="12.0"/>
    <col customWidth="1" min="5" max="5" width="23.43"/>
    <col customWidth="1" min="6" max="6" width="12.0"/>
    <col customWidth="1" min="7" max="7" width="11.0"/>
    <col customWidth="1" min="8" max="26" width="8.71"/>
  </cols>
  <sheetData>
    <row r="1">
      <c r="A1" s="1" t="s">
        <v>0</v>
      </c>
    </row>
    <row r="3">
      <c r="B3" s="2" t="s">
        <v>1</v>
      </c>
      <c r="E3" s="2" t="s">
        <v>2</v>
      </c>
    </row>
    <row r="4">
      <c r="B4" s="2" t="s">
        <v>3</v>
      </c>
      <c r="C4" s="2" t="s">
        <v>4</v>
      </c>
      <c r="D4" s="2" t="s">
        <v>5</v>
      </c>
      <c r="E4" s="2" t="s">
        <v>3</v>
      </c>
      <c r="F4" s="2" t="s">
        <v>4</v>
      </c>
      <c r="G4" s="2" t="s">
        <v>5</v>
      </c>
    </row>
    <row r="5">
      <c r="A5" s="3" t="s">
        <v>6</v>
      </c>
      <c r="B5" s="4">
        <v>1.20836472E8</v>
      </c>
      <c r="C5" s="5">
        <v>1.36576417E8</v>
      </c>
      <c r="D5" s="5">
        <v>1.40073739E8</v>
      </c>
      <c r="E5" s="5">
        <v>9.9106452E7</v>
      </c>
      <c r="F5" s="5">
        <v>1.01439131E8</v>
      </c>
      <c r="G5" s="5">
        <v>9.7176392E7</v>
      </c>
    </row>
    <row r="6">
      <c r="A6" s="3" t="s">
        <v>7</v>
      </c>
      <c r="B6" s="4">
        <v>8.4590542E7</v>
      </c>
      <c r="C6" s="5">
        <v>9.1074468E7</v>
      </c>
      <c r="D6" s="5">
        <v>9.9466093E7</v>
      </c>
      <c r="E6" s="5">
        <v>6.8750637E7</v>
      </c>
      <c r="F6" s="5">
        <v>7.0509157E7</v>
      </c>
      <c r="G6" s="5">
        <v>7.6613748E7</v>
      </c>
    </row>
    <row r="7">
      <c r="A7" s="2" t="s">
        <v>8</v>
      </c>
      <c r="B7" s="5">
        <v>2884714.0</v>
      </c>
      <c r="C7" s="5">
        <v>3084900.0</v>
      </c>
      <c r="D7" s="5">
        <v>2688622.0</v>
      </c>
      <c r="E7" s="5">
        <v>1659706.0</v>
      </c>
      <c r="F7" s="5">
        <v>1912565.0</v>
      </c>
      <c r="G7" s="5">
        <v>1746249.0</v>
      </c>
    </row>
    <row r="8">
      <c r="A8" s="2" t="s">
        <v>9</v>
      </c>
      <c r="B8" s="5">
        <v>3.2932267E7</v>
      </c>
      <c r="C8" s="5">
        <v>3.4604901E7</v>
      </c>
      <c r="D8" s="5">
        <v>3.7239726E7</v>
      </c>
      <c r="E8" s="5">
        <v>2.7009478E7</v>
      </c>
      <c r="F8" s="5">
        <v>2.7331735E7</v>
      </c>
      <c r="G8" s="5">
        <v>2.890346E7</v>
      </c>
    </row>
    <row r="9">
      <c r="A9" s="2" t="s">
        <v>10</v>
      </c>
      <c r="B9" s="5">
        <v>4.3258108E7</v>
      </c>
      <c r="C9" s="5">
        <v>4.701494E7</v>
      </c>
      <c r="D9" s="5">
        <v>5.1488932E7</v>
      </c>
      <c r="E9" s="5">
        <v>3.5232176E7</v>
      </c>
      <c r="F9" s="5">
        <v>3.595485E7</v>
      </c>
      <c r="G9" s="5">
        <v>3.9275829E7</v>
      </c>
    </row>
    <row r="10">
      <c r="A10" s="2" t="s">
        <v>11</v>
      </c>
      <c r="B10" s="5">
        <v>5515453.0</v>
      </c>
      <c r="C10" s="5">
        <v>6369727.0</v>
      </c>
      <c r="D10" s="5">
        <v>8048814.0</v>
      </c>
      <c r="E10" s="5">
        <v>4849277.0</v>
      </c>
      <c r="F10" s="5">
        <v>5310007.0</v>
      </c>
      <c r="G10" s="5">
        <v>6688210.0</v>
      </c>
    </row>
    <row r="11">
      <c r="A11" s="2" t="s">
        <v>12</v>
      </c>
      <c r="B11" s="5">
        <v>1.21386456E8</v>
      </c>
      <c r="C11" s="5">
        <v>1.34868663E8</v>
      </c>
      <c r="D11" s="5">
        <v>1.46588151E8</v>
      </c>
      <c r="E11" s="5">
        <v>1.12410829E8</v>
      </c>
      <c r="F11" s="5">
        <v>1.19644542E8</v>
      </c>
      <c r="G11" s="5">
        <v>1.25694E8</v>
      </c>
    </row>
    <row r="12">
      <c r="A12" s="3" t="s">
        <v>13</v>
      </c>
      <c r="B12" s="4">
        <v>2.6895624E7</v>
      </c>
      <c r="C12" s="5">
        <v>3.0144787E7</v>
      </c>
      <c r="D12" s="5">
        <v>3.388579E7</v>
      </c>
      <c r="E12" s="5">
        <v>2.6849043E7</v>
      </c>
      <c r="F12" s="5">
        <v>2.8480436E7</v>
      </c>
      <c r="G12" s="5">
        <v>3.0628921E7</v>
      </c>
    </row>
    <row r="13">
      <c r="A13" s="2" t="s">
        <v>14</v>
      </c>
      <c r="B13" s="5">
        <v>1.5563758E7</v>
      </c>
      <c r="C13" s="5">
        <v>1.7837995E7</v>
      </c>
      <c r="D13" s="5">
        <v>1.9360331E7</v>
      </c>
      <c r="E13" s="5">
        <v>1.3305057E7</v>
      </c>
      <c r="F13" s="5">
        <v>1.4590843E7</v>
      </c>
      <c r="G13" s="5">
        <v>1.5362153E7</v>
      </c>
    </row>
    <row r="14">
      <c r="A14" s="2" t="s">
        <v>15</v>
      </c>
      <c r="B14" s="5">
        <v>1764959.0</v>
      </c>
      <c r="C14" s="5">
        <v>2117564.0</v>
      </c>
      <c r="D14" s="5">
        <v>2328392.0</v>
      </c>
      <c r="E14" s="5">
        <v>1506851.0</v>
      </c>
      <c r="F14" s="5">
        <v>1675159.0</v>
      </c>
      <c r="G14" s="5">
        <v>1746655.0</v>
      </c>
    </row>
    <row r="15">
      <c r="A15" s="2" t="s">
        <v>16</v>
      </c>
      <c r="B15" s="5">
        <v>7807542.0</v>
      </c>
      <c r="C15" s="5">
        <v>8436753.0</v>
      </c>
      <c r="D15" s="5">
        <v>9084154.0</v>
      </c>
      <c r="E15" s="5">
        <v>7937990.0</v>
      </c>
      <c r="F15" s="5">
        <v>8436996.0</v>
      </c>
      <c r="G15" s="5">
        <v>9094691.0</v>
      </c>
    </row>
    <row r="16">
      <c r="A16" s="2" t="s">
        <v>17</v>
      </c>
      <c r="B16" s="5">
        <v>4705304.0</v>
      </c>
      <c r="C16" s="5">
        <v>5788228.0</v>
      </c>
      <c r="D16" s="5">
        <v>6512642.0</v>
      </c>
      <c r="E16" s="5">
        <v>4274070.0</v>
      </c>
      <c r="F16" s="5">
        <v>4942163.0</v>
      </c>
      <c r="G16" s="5">
        <v>5332106.0</v>
      </c>
    </row>
    <row r="17">
      <c r="A17" s="2" t="s">
        <v>18</v>
      </c>
      <c r="B17" s="5">
        <v>6134159.0</v>
      </c>
      <c r="C17" s="5">
        <v>6330639.0</v>
      </c>
      <c r="D17" s="5">
        <v>6769067.0</v>
      </c>
      <c r="E17" s="5">
        <v>5804941.0</v>
      </c>
      <c r="F17" s="5">
        <v>5832397.0</v>
      </c>
      <c r="G17" s="5">
        <v>6046149.0</v>
      </c>
    </row>
    <row r="18">
      <c r="A18" s="2" t="s">
        <v>19</v>
      </c>
      <c r="B18" s="5">
        <v>922412.0</v>
      </c>
      <c r="C18" s="5">
        <v>1004307.0</v>
      </c>
      <c r="D18" s="5">
        <v>1161756.0</v>
      </c>
      <c r="E18" s="5">
        <v>905847.0</v>
      </c>
      <c r="F18" s="5">
        <v>970375.0</v>
      </c>
      <c r="G18" s="5">
        <v>1091456.0</v>
      </c>
    </row>
    <row r="19">
      <c r="A19" s="2" t="s">
        <v>20</v>
      </c>
      <c r="B19" s="5">
        <v>2.8647138E7</v>
      </c>
      <c r="C19" s="5">
        <v>3.1866138E7</v>
      </c>
      <c r="D19" s="5">
        <v>3.3511317E7</v>
      </c>
      <c r="E19" s="5">
        <v>2.5671344E7</v>
      </c>
      <c r="F19" s="5">
        <v>2.7471623E7</v>
      </c>
      <c r="G19" s="5">
        <v>2.8066874E7</v>
      </c>
    </row>
    <row r="20">
      <c r="A20" s="2" t="s">
        <v>21</v>
      </c>
      <c r="B20" s="5">
        <v>2.2258359E7</v>
      </c>
      <c r="C20" s="5">
        <v>2.4033858E7</v>
      </c>
      <c r="D20" s="5">
        <v>2.565754E7</v>
      </c>
      <c r="E20" s="5">
        <v>2.0294407E7</v>
      </c>
      <c r="F20" s="5">
        <v>2.1071126E7</v>
      </c>
      <c r="G20" s="5">
        <v>2.1536871E7</v>
      </c>
    </row>
    <row r="21" ht="15.75" customHeight="1">
      <c r="A21" s="2" t="s">
        <v>22</v>
      </c>
      <c r="B21" s="5">
        <v>5881704.0</v>
      </c>
      <c r="C21" s="5">
        <v>6372993.0</v>
      </c>
      <c r="D21" s="5">
        <v>7304582.0</v>
      </c>
      <c r="E21" s="5">
        <v>5149351.0</v>
      </c>
      <c r="F21" s="5">
        <v>5386999.0</v>
      </c>
      <c r="G21" s="5">
        <v>5971777.0</v>
      </c>
    </row>
    <row r="22" ht="15.75" customHeight="1">
      <c r="A22" s="2" t="s">
        <v>23</v>
      </c>
      <c r="B22" s="5">
        <v>805497.0</v>
      </c>
      <c r="C22" s="5">
        <v>935402.0</v>
      </c>
      <c r="D22" s="5">
        <v>1012580.0</v>
      </c>
      <c r="E22" s="5">
        <v>711928.0</v>
      </c>
      <c r="F22" s="5">
        <v>786426.0</v>
      </c>
      <c r="G22" s="5">
        <v>816347.0</v>
      </c>
    </row>
    <row r="23" ht="15.75" customHeight="1">
      <c r="A23" s="2" t="s">
        <v>24</v>
      </c>
      <c r="B23" s="5">
        <v>3.2681347E8</v>
      </c>
      <c r="C23" s="5">
        <v>3.62519548E8</v>
      </c>
      <c r="D23" s="5">
        <v>3.86127983E8</v>
      </c>
      <c r="E23" s="5">
        <v>2.80267918E8</v>
      </c>
      <c r="F23" s="5">
        <v>2.91592829E8</v>
      </c>
      <c r="G23" s="5">
        <v>2.99484139E8</v>
      </c>
    </row>
    <row r="24" ht="15.75" customHeight="1">
      <c r="A24" s="6" t="s">
        <v>25</v>
      </c>
      <c r="B24" s="7">
        <f>B5+B6+B11</f>
        <v>326813470</v>
      </c>
      <c r="E24" s="7">
        <f>SUM(E5:E22)</f>
        <v>461429384</v>
      </c>
    </row>
    <row r="25" ht="15.75" customHeight="1"/>
    <row r="26" ht="15.75" customHeight="1">
      <c r="A26" s="8" t="s">
        <v>26</v>
      </c>
    </row>
    <row r="27" ht="15.75" customHeight="1">
      <c r="A27" s="8" t="s">
        <v>27</v>
      </c>
    </row>
    <row r="28" ht="15.75" customHeight="1"/>
    <row r="29" ht="15.75" customHeight="1">
      <c r="A29" s="8" t="s">
        <v>28</v>
      </c>
    </row>
    <row r="30" ht="15.75" customHeight="1">
      <c r="A30" s="8" t="s">
        <v>29</v>
      </c>
    </row>
    <row r="31" ht="15.75" customHeight="1"/>
    <row r="32" ht="15.75" customHeight="1">
      <c r="A32" s="8" t="s">
        <v>30</v>
      </c>
    </row>
    <row r="33" ht="15.75" customHeight="1">
      <c r="A33" s="8" t="s">
        <v>31</v>
      </c>
    </row>
    <row r="34" ht="15.75" customHeight="1">
      <c r="A34" s="8" t="s">
        <v>32</v>
      </c>
    </row>
    <row r="35" ht="15.75" customHeight="1">
      <c r="A35" s="8" t="s">
        <v>33</v>
      </c>
    </row>
    <row r="36" ht="15.75" customHeight="1">
      <c r="A36" s="8" t="s">
        <v>34</v>
      </c>
    </row>
    <row r="37" ht="15.75" customHeight="1">
      <c r="A37" s="8" t="s">
        <v>35</v>
      </c>
    </row>
    <row r="38" ht="15.75" customHeight="1">
      <c r="A38" s="8" t="s">
        <v>36</v>
      </c>
    </row>
    <row r="39" ht="15.75" customHeight="1"/>
    <row r="40" ht="15.75" customHeight="1"/>
    <row r="41" ht="15.75" customHeight="1">
      <c r="A41" s="8" t="s">
        <v>37</v>
      </c>
    </row>
    <row r="42" ht="15.75" customHeight="1">
      <c r="A42" s="8" t="s">
        <v>38</v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>
      <c r="A50" s="8" t="s">
        <v>39</v>
      </c>
    </row>
    <row r="51" ht="15.75" customHeight="1"/>
    <row r="52" ht="15.75" customHeight="1"/>
    <row r="53" ht="15.75" customHeight="1">
      <c r="A53" s="8" t="s">
        <v>40</v>
      </c>
    </row>
    <row r="54" ht="15.75" customHeight="1">
      <c r="A54" s="8" t="s">
        <v>41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5" footer="0.0" header="0.0" left="0.75" right="0.75" top="0.75"/>
  <pageSetup orientation="landscape"/>
  <drawing r:id="rId1"/>
</worksheet>
</file>